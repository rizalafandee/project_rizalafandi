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ETS" sheetId="1" r:id="rId4"/>
  </sheets>
  <definedNames/>
  <calcPr/>
</workbook>
</file>

<file path=xl/sharedStrings.xml><?xml version="1.0" encoding="utf-8"?>
<sst xmlns="http://schemas.openxmlformats.org/spreadsheetml/2006/main" count="62" uniqueCount="37">
  <si>
    <t>Kabupaten/Kota</t>
  </si>
  <si>
    <t>Jumlah Penduduk Miskin (Y)</t>
  </si>
  <si>
    <t>TPAK (X1)</t>
  </si>
  <si>
    <t>PDRB ADHB (X2)</t>
  </si>
  <si>
    <t>Angka Ketergantungan (X5)</t>
  </si>
  <si>
    <t xml:space="preserve">Angka Kelahiran Kasar (X4) </t>
  </si>
  <si>
    <t xml:space="preserve">Rata rata lama sekolah (X5) 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</si>
  <si>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</si>
  <si>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</si>
  <si>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</si>
  <si>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</si>
  <si>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</si>
  <si>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</si>
  <si>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</si>
  <si>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</si>
  <si>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</si>
  <si>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</si>
  <si>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</si>
  <si>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</si>
  <si>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</si>
  <si>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</si>
  <si>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</si>
  <si>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</si>
  <si>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</si>
  <si>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</si>
  <si>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BANDA ACEH</t>
  </si>
  <si>
    <t>SABANG</t>
  </si>
  <si>
    <t>LANGSA</t>
  </si>
  <si>
    <t>LHOKSEUMAWE</t>
  </si>
  <si>
    <t>SUBULUSSALAM</t>
  </si>
  <si>
    <t>MEAN</t>
  </si>
  <si>
    <t>ST.DEV</t>
  </si>
  <si>
    <t>Jumlah Penduduk Miskin Dalam Ribu (Y)</t>
  </si>
  <si>
    <t>PDRB ADHB (rupiah) (X2)</t>
  </si>
  <si>
    <t>Dependency Ratio / Angka Ketergantungan (X5)</t>
  </si>
  <si>
    <t>Angka Kelahiran Kasar (X4) (DEMO)</t>
  </si>
  <si>
    <t>Rata rata lama sekolah (X5) (DDA)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</si>
</sst>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"/>
  </numFmts>
  <fonts count="7">
    <font>
      <sz val="10.0"/>
      <color rgb="FF000000"/>
      <name val="Arial"/>
      <scheme val="minor"/>
    </font>
    <font>
      <b/>
      <sz val="11.0"/>
      <color theme="1"/>
      <name val="Raleway"/>
    </font>
    <font>
      <sz val="11.0"/>
      <color rgb="FF000000"/>
      <name val="Calibri"/>
    </font>
    <font>
      <color theme="1"/>
      <name val="Arial"/>
      <scheme val="minor"/>
    </font>
    <font>
      <sz val="12.0"/>
      <color rgb="FF000000"/>
      <name val="Calibri"/>
    </font>
    <font>
      <b/>
      <color theme="1"/>
      <name val="Arial"/>
      <scheme val="minor"/>
    </font>
    <font>
      <b/>
      <sz val="12.0"/>
      <color theme="1"/>
      <name val="Raleway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1" fillId="0" fontId="5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bottom" wrapText="0"/>
    </xf>
    <xf borderId="1" fillId="0" fontId="3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7.88"/>
    <col customWidth="1" min="5" max="5" width="20.38"/>
    <col customWidth="1" min="6" max="6" width="16.5"/>
    <col customWidth="1" min="7" max="7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17340.0</v>
      </c>
      <c r="C2" s="4">
        <v>70.37</v>
      </c>
      <c r="D2" s="4">
        <v>2274.76</v>
      </c>
      <c r="E2" s="4">
        <v>46.21926</v>
      </c>
      <c r="F2" s="4">
        <v>22.1</v>
      </c>
      <c r="G2" s="4">
        <v>9.34</v>
      </c>
    </row>
    <row r="3">
      <c r="A3" s="2" t="s">
        <v>8</v>
      </c>
      <c r="B3" s="3">
        <v>25430.0</v>
      </c>
      <c r="C3" s="4">
        <v>61.97</v>
      </c>
      <c r="D3" s="4">
        <v>2425.0</v>
      </c>
      <c r="E3" s="4">
        <v>53.37936</v>
      </c>
      <c r="F3" s="4">
        <v>25.43</v>
      </c>
      <c r="G3" s="4">
        <v>8.53</v>
      </c>
    </row>
    <row r="4">
      <c r="A4" s="2" t="s">
        <v>9</v>
      </c>
      <c r="B4" s="3">
        <v>30910.0</v>
      </c>
      <c r="C4" s="4">
        <v>61.41</v>
      </c>
      <c r="D4" s="4">
        <v>5530.75</v>
      </c>
      <c r="E4" s="4">
        <v>42.25496</v>
      </c>
      <c r="F4" s="4">
        <v>19.01</v>
      </c>
      <c r="G4" s="4">
        <v>8.87</v>
      </c>
    </row>
    <row r="5">
      <c r="A5" s="2" t="s">
        <v>10</v>
      </c>
      <c r="B5" s="3">
        <v>28980.0</v>
      </c>
      <c r="C5" s="4">
        <v>71.33</v>
      </c>
      <c r="D5" s="4">
        <v>562.58</v>
      </c>
      <c r="E5" s="4">
        <v>49.00679</v>
      </c>
      <c r="F5" s="4">
        <v>22.49</v>
      </c>
      <c r="G5" s="4">
        <v>9.66</v>
      </c>
    </row>
    <row r="6">
      <c r="A6" s="2" t="s">
        <v>11</v>
      </c>
      <c r="B6" s="3">
        <v>62340.0</v>
      </c>
      <c r="C6" s="4">
        <v>61.92</v>
      </c>
      <c r="D6" s="4">
        <v>10615.79</v>
      </c>
      <c r="E6" s="4">
        <v>53.50662</v>
      </c>
      <c r="F6" s="4">
        <v>19.3</v>
      </c>
      <c r="G6" s="4">
        <v>8.15</v>
      </c>
    </row>
    <row r="7">
      <c r="A7" s="2" t="s">
        <v>12</v>
      </c>
      <c r="B7" s="3">
        <v>32479.999999999996</v>
      </c>
      <c r="C7" s="4">
        <v>79.96</v>
      </c>
      <c r="D7" s="4">
        <v>7388.77</v>
      </c>
      <c r="E7" s="4">
        <v>49.87063</v>
      </c>
      <c r="F7" s="4">
        <v>19.63</v>
      </c>
      <c r="G7" s="4">
        <v>9.85</v>
      </c>
    </row>
    <row r="8">
      <c r="A8" s="2" t="s">
        <v>13</v>
      </c>
      <c r="B8" s="3">
        <v>39060.0</v>
      </c>
      <c r="C8" s="4">
        <v>59.41</v>
      </c>
      <c r="D8" s="4">
        <v>8116.35</v>
      </c>
      <c r="E8" s="4">
        <v>45.32309</v>
      </c>
      <c r="F8" s="4">
        <v>18.42</v>
      </c>
      <c r="G8" s="4">
        <v>9.37</v>
      </c>
    </row>
    <row r="9">
      <c r="A9" s="2" t="s">
        <v>14</v>
      </c>
      <c r="B9" s="3">
        <v>59700.0</v>
      </c>
      <c r="C9" s="4">
        <v>60.02</v>
      </c>
      <c r="D9" s="4">
        <v>13336.28</v>
      </c>
      <c r="E9" s="4">
        <v>51.70114</v>
      </c>
      <c r="F9" s="4">
        <v>17.91</v>
      </c>
      <c r="G9" s="4">
        <v>10.32</v>
      </c>
    </row>
    <row r="10">
      <c r="A10" s="2" t="s">
        <v>15</v>
      </c>
      <c r="B10" s="3">
        <v>86390.0</v>
      </c>
      <c r="C10" s="4">
        <v>65.55</v>
      </c>
      <c r="D10" s="4">
        <v>10759.99</v>
      </c>
      <c r="E10" s="4">
        <v>47.9734</v>
      </c>
      <c r="F10" s="4">
        <v>18.81</v>
      </c>
      <c r="G10" s="4">
        <v>8.99</v>
      </c>
    </row>
    <row r="11">
      <c r="A11" s="2" t="s">
        <v>16</v>
      </c>
      <c r="B11" s="3">
        <v>62420.0</v>
      </c>
      <c r="C11" s="4">
        <v>67.06</v>
      </c>
      <c r="D11" s="4">
        <v>1390.47</v>
      </c>
      <c r="E11" s="4">
        <v>49.71891</v>
      </c>
      <c r="F11" s="4">
        <v>19.54</v>
      </c>
      <c r="G11" s="4">
        <v>9.28</v>
      </c>
    </row>
    <row r="12">
      <c r="A12" s="2" t="s">
        <v>17</v>
      </c>
      <c r="B12" s="3">
        <v>106410.0</v>
      </c>
      <c r="C12" s="4">
        <v>60.31</v>
      </c>
      <c r="D12" s="4">
        <v>19694.75</v>
      </c>
      <c r="E12" s="4">
        <v>49.9171</v>
      </c>
      <c r="F12" s="4">
        <v>18.99</v>
      </c>
      <c r="G12" s="4">
        <v>8.63</v>
      </c>
    </row>
    <row r="13">
      <c r="A13" s="2" t="s">
        <v>18</v>
      </c>
      <c r="B13" s="3">
        <v>24210.0</v>
      </c>
      <c r="C13" s="4">
        <v>57.58</v>
      </c>
      <c r="D13" s="4">
        <v>3920.33</v>
      </c>
      <c r="E13" s="4">
        <v>42.72143</v>
      </c>
      <c r="F13" s="4">
        <v>19.77</v>
      </c>
      <c r="G13" s="4">
        <v>8.66</v>
      </c>
    </row>
    <row r="14">
      <c r="A14" s="2" t="s">
        <v>19</v>
      </c>
      <c r="B14" s="3">
        <v>18420.0</v>
      </c>
      <c r="C14" s="4">
        <v>86.36</v>
      </c>
      <c r="D14" s="4">
        <v>2694.87</v>
      </c>
      <c r="E14" s="4">
        <v>48.93115</v>
      </c>
      <c r="F14" s="4">
        <v>23.79</v>
      </c>
      <c r="G14" s="4">
        <v>8.2</v>
      </c>
    </row>
    <row r="15">
      <c r="A15" s="2" t="s">
        <v>20</v>
      </c>
      <c r="B15" s="3">
        <v>38930.0</v>
      </c>
      <c r="C15" s="4">
        <v>64.84</v>
      </c>
      <c r="D15" s="4">
        <v>7512.69</v>
      </c>
      <c r="E15" s="4">
        <v>47.02779</v>
      </c>
      <c r="F15" s="4">
        <v>18.62</v>
      </c>
      <c r="G15" s="4">
        <v>8.9</v>
      </c>
    </row>
    <row r="16">
      <c r="A16" s="2" t="s">
        <v>21</v>
      </c>
      <c r="B16" s="3">
        <v>29990.0</v>
      </c>
      <c r="C16" s="4">
        <v>66.61</v>
      </c>
      <c r="D16" s="4">
        <v>7674.15</v>
      </c>
      <c r="E16" s="4">
        <v>45.08268</v>
      </c>
      <c r="F16" s="4">
        <v>18.97</v>
      </c>
      <c r="G16" s="4">
        <v>8.68</v>
      </c>
    </row>
    <row r="17">
      <c r="A17" s="2" t="s">
        <v>22</v>
      </c>
      <c r="B17" s="3">
        <v>12110.0</v>
      </c>
      <c r="C17" s="4">
        <v>75.32</v>
      </c>
      <c r="D17" s="4">
        <v>2625.76</v>
      </c>
      <c r="E17" s="4">
        <v>52.52039</v>
      </c>
      <c r="F17" s="4">
        <v>22.31</v>
      </c>
      <c r="G17" s="4">
        <v>8.7</v>
      </c>
    </row>
    <row r="18">
      <c r="A18" s="2" t="s">
        <v>23</v>
      </c>
      <c r="B18" s="3">
        <v>28380.0</v>
      </c>
      <c r="C18" s="4">
        <v>82.52</v>
      </c>
      <c r="D18" s="4">
        <v>4522.33</v>
      </c>
      <c r="E18" s="4">
        <v>50.73638</v>
      </c>
      <c r="F18" s="4">
        <v>20.39</v>
      </c>
      <c r="G18" s="4">
        <v>9.79</v>
      </c>
    </row>
    <row r="19">
      <c r="A19" s="2" t="s">
        <v>24</v>
      </c>
      <c r="B19" s="3">
        <v>31390.0</v>
      </c>
      <c r="C19" s="4">
        <v>62.13</v>
      </c>
      <c r="D19" s="4">
        <v>3476.12</v>
      </c>
      <c r="E19" s="4">
        <v>48.72578</v>
      </c>
      <c r="F19" s="4">
        <v>19.98</v>
      </c>
      <c r="G19" s="4">
        <v>9.33</v>
      </c>
    </row>
    <row r="20">
      <c r="A20" s="2" t="s">
        <v>25</v>
      </c>
      <c r="B20" s="3">
        <v>18970.0</v>
      </c>
      <c r="C20" s="4">
        <v>61.54</v>
      </c>
      <c r="D20" s="4">
        <v>18287.59</v>
      </c>
      <c r="E20" s="4">
        <v>49.06724</v>
      </c>
      <c r="F20" s="4">
        <v>17.65</v>
      </c>
      <c r="G20" s="4">
        <v>12.65</v>
      </c>
    </row>
    <row r="21">
      <c r="A21" s="2" t="s">
        <v>26</v>
      </c>
      <c r="B21" s="3">
        <v>5270.0</v>
      </c>
      <c r="C21" s="4">
        <v>71.55</v>
      </c>
      <c r="D21" s="4">
        <v>1533.34</v>
      </c>
      <c r="E21" s="4">
        <v>51.6514</v>
      </c>
      <c r="F21" s="4">
        <v>18.63</v>
      </c>
      <c r="G21" s="4">
        <v>11.14</v>
      </c>
    </row>
    <row r="22">
      <c r="A22" s="2" t="s">
        <v>27</v>
      </c>
      <c r="B22" s="3">
        <v>18650.0</v>
      </c>
      <c r="C22" s="4">
        <v>66.58</v>
      </c>
      <c r="D22" s="4">
        <v>5278.58</v>
      </c>
      <c r="E22" s="4">
        <v>42.66185</v>
      </c>
      <c r="F22" s="4">
        <v>18.6</v>
      </c>
      <c r="G22" s="4">
        <v>11.11</v>
      </c>
    </row>
    <row r="23">
      <c r="A23" s="2" t="s">
        <v>28</v>
      </c>
      <c r="B23" s="3">
        <v>22690.0</v>
      </c>
      <c r="C23" s="4">
        <v>63.17</v>
      </c>
      <c r="D23" s="4">
        <v>8917.52</v>
      </c>
      <c r="E23" s="4">
        <v>46.02041</v>
      </c>
      <c r="F23" s="4">
        <v>19.63</v>
      </c>
      <c r="G23" s="4">
        <v>10.91</v>
      </c>
    </row>
    <row r="24">
      <c r="A24" s="2" t="s">
        <v>29</v>
      </c>
      <c r="B24" s="3">
        <v>14460.0</v>
      </c>
      <c r="C24" s="4">
        <v>64.18</v>
      </c>
      <c r="D24" s="4">
        <v>1804.18</v>
      </c>
      <c r="E24" s="4">
        <v>54.09836</v>
      </c>
      <c r="F24" s="4">
        <v>26.74</v>
      </c>
      <c r="G24" s="4">
        <v>7.84</v>
      </c>
    </row>
    <row r="25">
      <c r="A25" s="5"/>
      <c r="B25" s="5"/>
      <c r="C25" s="6"/>
      <c r="D25" s="5"/>
      <c r="E25" s="7"/>
      <c r="G25" s="5"/>
    </row>
    <row r="26">
      <c r="A26" s="8" t="s">
        <v>30</v>
      </c>
      <c r="B26" s="9">
        <f t="shared" ref="B26:G26" si="1">AVERAGE(B1:B24)</f>
        <v>35431.73913</v>
      </c>
      <c r="C26" s="9">
        <f t="shared" si="1"/>
        <v>67.03</v>
      </c>
      <c r="D26" s="9">
        <f t="shared" si="1"/>
        <v>6536.65</v>
      </c>
      <c r="E26" s="9">
        <f t="shared" si="1"/>
        <v>48.61374435</v>
      </c>
      <c r="F26" s="9">
        <f t="shared" si="1"/>
        <v>20.29173913</v>
      </c>
      <c r="G26" s="9">
        <f t="shared" si="1"/>
        <v>9.430434783</v>
      </c>
    </row>
    <row r="27">
      <c r="A27" s="8" t="s">
        <v>31</v>
      </c>
      <c r="B27" s="9">
        <f t="shared" ref="B27:G27" si="2">STDEV(B1:B24)</f>
        <v>24605.04025</v>
      </c>
      <c r="C27" s="9">
        <f t="shared" si="2"/>
        <v>7.713854125</v>
      </c>
      <c r="D27" s="9">
        <f t="shared" si="2"/>
        <v>5225.190758</v>
      </c>
      <c r="E27" s="9">
        <f t="shared" si="2"/>
        <v>3.499948667</v>
      </c>
      <c r="F27" s="9">
        <f t="shared" si="2"/>
        <v>2.403137442</v>
      </c>
      <c r="G27" s="9">
        <f t="shared" si="2"/>
        <v>1.150223213</v>
      </c>
    </row>
    <row r="28">
      <c r="B28" s="5"/>
      <c r="C28" s="5"/>
      <c r="D28" s="5"/>
      <c r="E28" s="5"/>
      <c r="F28" s="10"/>
      <c r="G28" s="10"/>
    </row>
    <row r="29">
      <c r="A29" s="11" t="s">
        <v>0</v>
      </c>
      <c r="B29" s="11" t="s">
        <v>32</v>
      </c>
      <c r="C29" s="11" t="s">
        <v>2</v>
      </c>
      <c r="D29" s="11" t="s">
        <v>33</v>
      </c>
      <c r="E29" s="11" t="s">
        <v>34</v>
      </c>
      <c r="F29" s="11" t="s">
        <v>35</v>
      </c>
      <c r="G29" s="11" t="s">
        <v>36</v>
      </c>
    </row>
    <row r="30">
      <c r="A30" s="12" t="s">
        <v>7</v>
      </c>
      <c r="B30" s="13">
        <f t="shared" ref="B30:G30" si="3">STANDARDIZE(B2,B$26,B$27)</f>
        <v>-0.7352858985</v>
      </c>
      <c r="C30" s="13">
        <f t="shared" si="3"/>
        <v>0.4329871872</v>
      </c>
      <c r="D30" s="13">
        <f t="shared" si="3"/>
        <v>-0.8156429492</v>
      </c>
      <c r="E30" s="13">
        <f t="shared" si="3"/>
        <v>-0.6841484192</v>
      </c>
      <c r="F30" s="13">
        <f t="shared" si="3"/>
        <v>0.7524583646</v>
      </c>
      <c r="G30" s="13">
        <f t="shared" si="3"/>
        <v>-0.07862368071</v>
      </c>
    </row>
    <row r="31">
      <c r="A31" s="12" t="s">
        <v>8</v>
      </c>
      <c r="B31" s="13">
        <f t="shared" ref="B31:G31" si="4">STANDARDIZE(B3,B$26,B$27)</f>
        <v>-0.406491476</v>
      </c>
      <c r="C31" s="13">
        <f t="shared" si="4"/>
        <v>-0.6559626249</v>
      </c>
      <c r="D31" s="13">
        <f t="shared" si="4"/>
        <v>-0.7868899319</v>
      </c>
      <c r="E31" s="13">
        <f t="shared" si="4"/>
        <v>1.361624442</v>
      </c>
      <c r="F31" s="13">
        <f t="shared" si="4"/>
        <v>2.138146899</v>
      </c>
      <c r="G31" s="13">
        <f t="shared" si="4"/>
        <v>-0.7828348209</v>
      </c>
    </row>
    <row r="32">
      <c r="A32" s="12" t="s">
        <v>9</v>
      </c>
      <c r="B32" s="13">
        <f t="shared" ref="B32:G32" si="5">STANDARDIZE(B4,B$26,B$27)</f>
        <v>-0.1837728808</v>
      </c>
      <c r="C32" s="13">
        <f t="shared" si="5"/>
        <v>-0.7285592791</v>
      </c>
      <c r="D32" s="13">
        <f t="shared" si="5"/>
        <v>-0.1925097181</v>
      </c>
      <c r="E32" s="13">
        <f t="shared" si="5"/>
        <v>-1.816822174</v>
      </c>
      <c r="F32" s="13">
        <f t="shared" si="5"/>
        <v>-0.5333607259</v>
      </c>
      <c r="G32" s="13">
        <f t="shared" si="5"/>
        <v>-0.4872400213</v>
      </c>
    </row>
    <row r="33">
      <c r="A33" s="12" t="s">
        <v>10</v>
      </c>
      <c r="B33" s="13">
        <f t="shared" ref="B33:G33" si="6">STANDARDIZE(B5,B$26,B$27)</f>
        <v>-0.2622120941</v>
      </c>
      <c r="C33" s="13">
        <f t="shared" si="6"/>
        <v>0.5574385943</v>
      </c>
      <c r="D33" s="13">
        <f t="shared" si="6"/>
        <v>-1.143320938</v>
      </c>
      <c r="E33" s="13">
        <f t="shared" si="6"/>
        <v>0.1123004048</v>
      </c>
      <c r="F33" s="13">
        <f t="shared" si="6"/>
        <v>0.914746211</v>
      </c>
      <c r="G33" s="13">
        <f t="shared" si="6"/>
        <v>0.1995831895</v>
      </c>
    </row>
    <row r="34">
      <c r="A34" s="12" t="s">
        <v>11</v>
      </c>
      <c r="B34" s="13">
        <f t="shared" ref="B34:G34" si="7">STANDARDIZE(B6,B$26,B$27)</f>
        <v>1.093607675</v>
      </c>
      <c r="C34" s="13">
        <f t="shared" si="7"/>
        <v>-0.6624444691</v>
      </c>
      <c r="D34" s="13">
        <f t="shared" si="7"/>
        <v>0.7806681495</v>
      </c>
      <c r="E34" s="13">
        <f t="shared" si="7"/>
        <v>1.397984976</v>
      </c>
      <c r="F34" s="13">
        <f t="shared" si="7"/>
        <v>-0.4126851478</v>
      </c>
      <c r="G34" s="13">
        <f t="shared" si="7"/>
        <v>-1.113205479</v>
      </c>
    </row>
    <row r="35">
      <c r="A35" s="12" t="s">
        <v>12</v>
      </c>
      <c r="B35" s="13">
        <f t="shared" ref="B35:G35" si="8">STANDARDIZE(B7,B$26,B$27)</f>
        <v>-0.1199648161</v>
      </c>
      <c r="C35" s="13">
        <f t="shared" si="8"/>
        <v>1.676204889</v>
      </c>
      <c r="D35" s="13">
        <f t="shared" si="8"/>
        <v>0.1630792136</v>
      </c>
      <c r="E35" s="13">
        <f t="shared" si="8"/>
        <v>0.3591154533</v>
      </c>
      <c r="F35" s="13">
        <f t="shared" si="8"/>
        <v>-0.2753646624</v>
      </c>
      <c r="G35" s="13">
        <f t="shared" si="8"/>
        <v>0.3647685187</v>
      </c>
    </row>
    <row r="36">
      <c r="A36" s="12" t="s">
        <v>13</v>
      </c>
      <c r="B36" s="13">
        <f t="shared" ref="B36:G36" si="9">STANDARDIZE(B8,B$26,B$27)</f>
        <v>0.1474600664</v>
      </c>
      <c r="C36" s="13">
        <f t="shared" si="9"/>
        <v>-0.9878330439</v>
      </c>
      <c r="D36" s="13">
        <f t="shared" si="9"/>
        <v>0.3023238908</v>
      </c>
      <c r="E36" s="13">
        <f t="shared" si="9"/>
        <v>-0.940200746</v>
      </c>
      <c r="F36" s="13">
        <f t="shared" si="9"/>
        <v>-0.7788731088</v>
      </c>
      <c r="G36" s="13">
        <f t="shared" si="9"/>
        <v>-0.05254178663</v>
      </c>
    </row>
    <row r="37">
      <c r="A37" s="12" t="s">
        <v>14</v>
      </c>
      <c r="B37" s="13">
        <f t="shared" ref="B37:G37" si="10">STANDARDIZE(B9,B$26,B$27)</f>
        <v>0.9863125855</v>
      </c>
      <c r="C37" s="13">
        <f t="shared" si="10"/>
        <v>-0.9087545456</v>
      </c>
      <c r="D37" s="13">
        <f t="shared" si="10"/>
        <v>1.301317084</v>
      </c>
      <c r="E37" s="13">
        <f t="shared" si="10"/>
        <v>0.8821259812</v>
      </c>
      <c r="F37" s="13">
        <f t="shared" si="10"/>
        <v>-0.9910956772</v>
      </c>
      <c r="G37" s="13">
        <f t="shared" si="10"/>
        <v>0.7733848593</v>
      </c>
    </row>
    <row r="38">
      <c r="A38" s="12" t="s">
        <v>15</v>
      </c>
      <c r="B38" s="13">
        <f t="shared" ref="B38:G38" si="11">STANDARDIZE(B10,B$26,B$27)</f>
        <v>2.071049685</v>
      </c>
      <c r="C38" s="13">
        <f t="shared" si="11"/>
        <v>-0.191862586</v>
      </c>
      <c r="D38" s="13">
        <f t="shared" si="11"/>
        <v>0.8082652281</v>
      </c>
      <c r="E38" s="13">
        <f t="shared" si="11"/>
        <v>-0.1829582113</v>
      </c>
      <c r="F38" s="13">
        <f t="shared" si="11"/>
        <v>-0.6165852625</v>
      </c>
      <c r="G38" s="13">
        <f t="shared" si="11"/>
        <v>-0.382912445</v>
      </c>
    </row>
    <row r="39">
      <c r="A39" s="12" t="s">
        <v>16</v>
      </c>
      <c r="B39" s="13">
        <f t="shared" ref="B39:G39" si="12">STANDARDIZE(B11,B$26,B$27)</f>
        <v>1.096859041</v>
      </c>
      <c r="C39" s="13">
        <f t="shared" si="12"/>
        <v>0.003889106472</v>
      </c>
      <c r="D39" s="13">
        <f t="shared" si="12"/>
        <v>-0.9848788759</v>
      </c>
      <c r="E39" s="13">
        <f t="shared" si="12"/>
        <v>0.3157662461</v>
      </c>
      <c r="F39" s="13">
        <f t="shared" si="12"/>
        <v>-0.3128157039</v>
      </c>
      <c r="G39" s="13">
        <f t="shared" si="12"/>
        <v>-0.1307874689</v>
      </c>
    </row>
    <row r="40">
      <c r="A40" s="12" t="s">
        <v>17</v>
      </c>
      <c r="B40" s="13">
        <f t="shared" ref="B40:G40" si="13">STANDARDIZE(B12,B$26,B$27)</f>
        <v>2.884704115</v>
      </c>
      <c r="C40" s="13">
        <f t="shared" si="13"/>
        <v>-0.8711598497</v>
      </c>
      <c r="D40" s="13">
        <f t="shared" si="13"/>
        <v>2.518204714</v>
      </c>
      <c r="E40" s="13">
        <f t="shared" si="13"/>
        <v>0.3723927909</v>
      </c>
      <c r="F40" s="13">
        <f t="shared" si="13"/>
        <v>-0.5416831795</v>
      </c>
      <c r="G40" s="13">
        <f t="shared" si="13"/>
        <v>-0.695895174</v>
      </c>
    </row>
    <row r="41">
      <c r="A41" s="12" t="s">
        <v>18</v>
      </c>
      <c r="B41" s="13">
        <f t="shared" ref="B41:G41" si="14">STANDARDIZE(B13,B$26,B$27)</f>
        <v>-0.4560748129</v>
      </c>
      <c r="C41" s="13">
        <f t="shared" si="14"/>
        <v>-1.225068539</v>
      </c>
      <c r="D41" s="13">
        <f t="shared" si="14"/>
        <v>-0.5007128201</v>
      </c>
      <c r="E41" s="13">
        <f t="shared" si="14"/>
        <v>-1.683543077</v>
      </c>
      <c r="F41" s="13">
        <f t="shared" si="14"/>
        <v>-0.2171074868</v>
      </c>
      <c r="G41" s="13">
        <f t="shared" si="14"/>
        <v>-0.6698132799</v>
      </c>
    </row>
    <row r="42">
      <c r="A42" s="12" t="s">
        <v>19</v>
      </c>
      <c r="B42" s="13">
        <f t="shared" ref="B42:G42" si="15">STANDARDIZE(B14,B$26,B$27)</f>
        <v>-0.6913924527</v>
      </c>
      <c r="C42" s="13">
        <f t="shared" si="15"/>
        <v>2.505880937</v>
      </c>
      <c r="D42" s="13">
        <f t="shared" si="15"/>
        <v>-0.7352420568</v>
      </c>
      <c r="E42" s="13">
        <f t="shared" si="15"/>
        <v>0.09068865928</v>
      </c>
      <c r="F42" s="13">
        <f t="shared" si="15"/>
        <v>1.455705699</v>
      </c>
      <c r="G42" s="13">
        <f t="shared" si="15"/>
        <v>-1.069735656</v>
      </c>
    </row>
    <row r="43">
      <c r="A43" s="12" t="s">
        <v>20</v>
      </c>
      <c r="B43" s="13">
        <f t="shared" ref="B43:G43" si="16">STANDARDIZE(B15,B$26,B$27)</f>
        <v>0.1421765961</v>
      </c>
      <c r="C43" s="13">
        <f t="shared" si="16"/>
        <v>-0.2839047725</v>
      </c>
      <c r="D43" s="13">
        <f t="shared" si="16"/>
        <v>0.1867950942</v>
      </c>
      <c r="E43" s="13">
        <f t="shared" si="16"/>
        <v>-0.4531364596</v>
      </c>
      <c r="F43" s="13">
        <f t="shared" si="16"/>
        <v>-0.6956485722</v>
      </c>
      <c r="G43" s="13">
        <f t="shared" si="16"/>
        <v>-0.4611581272</v>
      </c>
    </row>
    <row r="44">
      <c r="A44" s="12" t="s">
        <v>21</v>
      </c>
      <c r="B44" s="13">
        <f t="shared" ref="B44:G44" si="17">STANDARDIZE(B16,B$26,B$27)</f>
        <v>-0.2211635939</v>
      </c>
      <c r="C44" s="13">
        <f t="shared" si="17"/>
        <v>-0.05444749061</v>
      </c>
      <c r="D44" s="13">
        <f t="shared" si="17"/>
        <v>0.2176954015</v>
      </c>
      <c r="E44" s="13">
        <f t="shared" si="17"/>
        <v>-1.008890325</v>
      </c>
      <c r="F44" s="13">
        <f t="shared" si="17"/>
        <v>-0.5500056332</v>
      </c>
      <c r="G44" s="13">
        <f t="shared" si="17"/>
        <v>-0.6524253505</v>
      </c>
    </row>
    <row r="45">
      <c r="A45" s="12" t="s">
        <v>22</v>
      </c>
      <c r="B45" s="13">
        <f t="shared" ref="B45:G45" si="18">STANDARDIZE(B17,B$26,B$27)</f>
        <v>-0.9478439738</v>
      </c>
      <c r="C45" s="13">
        <f t="shared" si="18"/>
        <v>1.074689755</v>
      </c>
      <c r="D45" s="13">
        <f t="shared" si="18"/>
        <v>-0.7484683682</v>
      </c>
      <c r="E45" s="13">
        <f t="shared" si="18"/>
        <v>1.116200843</v>
      </c>
      <c r="F45" s="13">
        <f t="shared" si="18"/>
        <v>0.839844128</v>
      </c>
      <c r="G45" s="13">
        <f t="shared" si="18"/>
        <v>-0.6350374211</v>
      </c>
    </row>
    <row r="46">
      <c r="A46" s="12" t="s">
        <v>23</v>
      </c>
      <c r="B46" s="13">
        <f t="shared" ref="B46:G46" si="19">STANDARDIZE(B18,B$26,B$27)</f>
        <v>-0.2865973417</v>
      </c>
      <c r="C46" s="13">
        <f t="shared" si="19"/>
        <v>2.008075308</v>
      </c>
      <c r="D46" s="13">
        <f t="shared" si="19"/>
        <v>-0.3855017153</v>
      </c>
      <c r="E46" s="13">
        <f t="shared" si="19"/>
        <v>0.6064762241</v>
      </c>
      <c r="F46" s="13">
        <f t="shared" si="19"/>
        <v>0.04088857668</v>
      </c>
      <c r="G46" s="13">
        <f t="shared" si="19"/>
        <v>0.3126047305</v>
      </c>
    </row>
    <row r="47">
      <c r="A47" s="12" t="s">
        <v>24</v>
      </c>
      <c r="B47" s="13">
        <f t="shared" ref="B47:G47" si="20">STANDARDIZE(B19,B$26,B$27)</f>
        <v>-0.1642646827</v>
      </c>
      <c r="C47" s="13">
        <f t="shared" si="20"/>
        <v>-0.6352207238</v>
      </c>
      <c r="D47" s="13">
        <f t="shared" si="20"/>
        <v>-0.5857259843</v>
      </c>
      <c r="E47" s="13">
        <f t="shared" si="20"/>
        <v>0.03201065582</v>
      </c>
      <c r="F47" s="13">
        <f t="shared" si="20"/>
        <v>-0.1297217234</v>
      </c>
      <c r="G47" s="13">
        <f t="shared" si="20"/>
        <v>-0.0873176454</v>
      </c>
    </row>
    <row r="48">
      <c r="A48" s="12" t="s">
        <v>25</v>
      </c>
      <c r="B48" s="13">
        <f t="shared" ref="B48:G48" si="21">STANDARDIZE(B20,B$26,B$27)</f>
        <v>-0.669039309</v>
      </c>
      <c r="C48" s="13">
        <f t="shared" si="21"/>
        <v>-0.7117064844</v>
      </c>
      <c r="D48" s="13">
        <f t="shared" si="21"/>
        <v>2.248901628</v>
      </c>
      <c r="E48" s="13">
        <f t="shared" si="21"/>
        <v>0.1295720867</v>
      </c>
      <c r="F48" s="13">
        <f t="shared" si="21"/>
        <v>-1.099287575</v>
      </c>
      <c r="G48" s="13">
        <f t="shared" si="21"/>
        <v>2.799078633</v>
      </c>
    </row>
    <row r="49">
      <c r="A49" s="12" t="s">
        <v>26</v>
      </c>
      <c r="B49" s="13">
        <f t="shared" ref="B49:G49" si="22">STANDARDIZE(B21,B$26,B$27)</f>
        <v>-1.225835797</v>
      </c>
      <c r="C49" s="13">
        <f t="shared" si="22"/>
        <v>0.5859587085</v>
      </c>
      <c r="D49" s="13">
        <f t="shared" si="22"/>
        <v>-0.9575363334</v>
      </c>
      <c r="E49" s="13">
        <f t="shared" si="22"/>
        <v>0.8679143442</v>
      </c>
      <c r="F49" s="13">
        <f t="shared" si="22"/>
        <v>-0.6914873454</v>
      </c>
      <c r="G49" s="13">
        <f t="shared" si="22"/>
        <v>1.486289964</v>
      </c>
    </row>
    <row r="50">
      <c r="A50" s="12" t="s">
        <v>27</v>
      </c>
      <c r="B50" s="13">
        <f t="shared" ref="B50:G50" si="23">STANDARDIZE(B22,B$26,B$27)</f>
        <v>-0.6820447744</v>
      </c>
      <c r="C50" s="13">
        <f t="shared" si="23"/>
        <v>-0.05833659708</v>
      </c>
      <c r="D50" s="13">
        <f t="shared" si="23"/>
        <v>-0.2407701572</v>
      </c>
      <c r="E50" s="13">
        <f t="shared" si="23"/>
        <v>-1.700566184</v>
      </c>
      <c r="F50" s="13">
        <f t="shared" si="23"/>
        <v>-0.7039710259</v>
      </c>
      <c r="G50" s="13">
        <f t="shared" si="23"/>
        <v>1.46020807</v>
      </c>
    </row>
    <row r="51">
      <c r="A51" s="12" t="s">
        <v>28</v>
      </c>
      <c r="B51" s="13">
        <f t="shared" ref="B51:G51" si="24">STANDARDIZE(B23,B$26,B$27)</f>
        <v>-0.5178507736</v>
      </c>
      <c r="C51" s="13">
        <f t="shared" si="24"/>
        <v>-0.5003983661</v>
      </c>
      <c r="D51" s="13">
        <f t="shared" si="24"/>
        <v>0.4556522642</v>
      </c>
      <c r="E51" s="13">
        <f t="shared" si="24"/>
        <v>-0.7409635382</v>
      </c>
      <c r="F51" s="13">
        <f t="shared" si="24"/>
        <v>-0.2753646624</v>
      </c>
      <c r="G51" s="13">
        <f t="shared" si="24"/>
        <v>1.286328776</v>
      </c>
    </row>
    <row r="52">
      <c r="A52" s="12" t="s">
        <v>29</v>
      </c>
      <c r="B52" s="13">
        <f t="shared" ref="B52:G52" si="25">STANDARDIZE(B24,B$26,B$27)</f>
        <v>-0.8523350872</v>
      </c>
      <c r="C52" s="13">
        <f t="shared" si="25"/>
        <v>-0.3694651148</v>
      </c>
      <c r="D52" s="13">
        <f t="shared" si="25"/>
        <v>-0.9057028191</v>
      </c>
      <c r="E52" s="13">
        <f t="shared" si="25"/>
        <v>1.567056027</v>
      </c>
      <c r="F52" s="13">
        <f t="shared" si="25"/>
        <v>2.683267614</v>
      </c>
      <c r="G52" s="13">
        <f t="shared" si="25"/>
        <v>-1.382718385</v>
      </c>
    </row>
    <row r="53">
      <c r="B53" s="10"/>
      <c r="C53" s="10"/>
      <c r="D53" s="10"/>
      <c r="E53" s="10"/>
      <c r="F53" s="10"/>
      <c r="G53" s="10"/>
    </row>
    <row r="54">
      <c r="B54" s="10"/>
      <c r="C54" s="10"/>
      <c r="D54" s="10"/>
      <c r="E54" s="10"/>
      <c r="F54" s="10"/>
      <c r="G54" s="10"/>
    </row>
    <row r="55">
      <c r="A55" s="5"/>
      <c r="B55" s="10"/>
      <c r="C55" s="10"/>
      <c r="D55" s="10"/>
      <c r="E55" s="10"/>
      <c r="F55" s="10"/>
      <c r="G55" s="10"/>
    </row>
  </sheetData>
  <drawing r:id="rId1"/>
</worksheet>
</file>