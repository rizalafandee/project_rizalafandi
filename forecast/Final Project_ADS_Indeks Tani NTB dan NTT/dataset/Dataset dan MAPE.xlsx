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A602021D-8C42-45A8-A743-45512C97BA69}" xr6:coauthVersionLast="47" xr6:coauthVersionMax="47" xr10:uidLastSave="{00000000-0000-0000-0000-000000000000}"/>
  <bookViews>
    <workbookView xWindow="-110" yWindow="-110" windowWidth="19420" windowHeight="11020" xr2:uid="{03D8F565-B1AF-496D-9518-4DB797BFB4F9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8" i="3" l="1"/>
  <c r="Q18" i="3"/>
  <c r="P18" i="3"/>
  <c r="O18" i="3"/>
  <c r="M31" i="3"/>
  <c r="L31" i="3"/>
  <c r="O31" i="3" s="1"/>
  <c r="M30" i="3"/>
  <c r="L30" i="3"/>
  <c r="O30" i="3" s="1"/>
  <c r="L29" i="3"/>
  <c r="M29" i="3" s="1"/>
  <c r="M28" i="3"/>
  <c r="L28" i="3"/>
  <c r="O28" i="3" s="1"/>
  <c r="M27" i="3"/>
  <c r="L27" i="3"/>
  <c r="O27" i="3" s="1"/>
  <c r="L26" i="3"/>
  <c r="N26" i="3" s="1"/>
  <c r="M25" i="3"/>
  <c r="L25" i="3"/>
  <c r="O25" i="3" s="1"/>
  <c r="M24" i="3"/>
  <c r="L24" i="3"/>
  <c r="O24" i="3" s="1"/>
  <c r="L23" i="3"/>
  <c r="M23" i="3" s="1"/>
  <c r="M22" i="3"/>
  <c r="L22" i="3"/>
  <c r="O22" i="3" s="1"/>
  <c r="M21" i="3"/>
  <c r="L21" i="3"/>
  <c r="O21" i="3" s="1"/>
  <c r="L20" i="3"/>
  <c r="M20" i="3" s="1"/>
  <c r="M19" i="3"/>
  <c r="L19" i="3"/>
  <c r="O19" i="3" s="1"/>
  <c r="L18" i="3"/>
  <c r="M18" i="3" s="1"/>
  <c r="O15" i="3"/>
  <c r="L15" i="3"/>
  <c r="N15" i="3" s="1"/>
  <c r="L14" i="3"/>
  <c r="O14" i="3" s="1"/>
  <c r="L13" i="3"/>
  <c r="M13" i="3" s="1"/>
  <c r="O12" i="3"/>
  <c r="L12" i="3"/>
  <c r="N12" i="3" s="1"/>
  <c r="L11" i="3"/>
  <c r="O11" i="3" s="1"/>
  <c r="L10" i="3"/>
  <c r="M10" i="3" s="1"/>
  <c r="O9" i="3"/>
  <c r="L9" i="3"/>
  <c r="N9" i="3" s="1"/>
  <c r="L8" i="3"/>
  <c r="O8" i="3" s="1"/>
  <c r="L7" i="3"/>
  <c r="M7" i="3" s="1"/>
  <c r="O6" i="3"/>
  <c r="L6" i="3"/>
  <c r="N6" i="3" s="1"/>
  <c r="L5" i="3"/>
  <c r="O5" i="3" s="1"/>
  <c r="L4" i="3"/>
  <c r="O4" i="3" s="1"/>
  <c r="O3" i="3"/>
  <c r="L3" i="3"/>
  <c r="N3" i="3" s="1"/>
  <c r="L2" i="3"/>
  <c r="M2" i="3" s="1"/>
  <c r="O23" i="3" l="1"/>
  <c r="O26" i="3"/>
  <c r="O29" i="3"/>
  <c r="M4" i="3"/>
  <c r="N29" i="3"/>
  <c r="N4" i="3"/>
  <c r="N7" i="3"/>
  <c r="N10" i="3"/>
  <c r="N13" i="3"/>
  <c r="N18" i="3"/>
  <c r="O20" i="3"/>
  <c r="N2" i="3"/>
  <c r="O7" i="3"/>
  <c r="O10" i="3"/>
  <c r="O13" i="3"/>
  <c r="M5" i="3"/>
  <c r="M8" i="3"/>
  <c r="M11" i="3"/>
  <c r="M14" i="3"/>
  <c r="N21" i="3"/>
  <c r="N24" i="3"/>
  <c r="N27" i="3"/>
  <c r="N30" i="3"/>
  <c r="M26" i="3"/>
  <c r="N23" i="3"/>
  <c r="O2" i="3"/>
  <c r="P2" i="3" s="1"/>
  <c r="N5" i="3"/>
  <c r="N8" i="3"/>
  <c r="N11" i="3"/>
  <c r="N14" i="3"/>
  <c r="N20" i="3"/>
  <c r="M3" i="3"/>
  <c r="Q2" i="3" s="1"/>
  <c r="M6" i="3"/>
  <c r="M9" i="3"/>
  <c r="M12" i="3"/>
  <c r="M15" i="3"/>
  <c r="N19" i="3"/>
  <c r="N22" i="3"/>
  <c r="N25" i="3"/>
  <c r="N28" i="3"/>
  <c r="N31" i="3"/>
  <c r="R2" i="3" l="1"/>
</calcChain>
</file>

<file path=xl/sharedStrings.xml><?xml version="1.0" encoding="utf-8"?>
<sst xmlns="http://schemas.openxmlformats.org/spreadsheetml/2006/main" count="30" uniqueCount="17">
  <si>
    <t>NTB_IN</t>
  </si>
  <si>
    <t>NTT_OUT</t>
  </si>
  <si>
    <t>NTB_OUT</t>
  </si>
  <si>
    <t>NTT_IN</t>
  </si>
  <si>
    <t>FOR</t>
  </si>
  <si>
    <t>SD</t>
  </si>
  <si>
    <t>UCL</t>
  </si>
  <si>
    <t>LCL</t>
  </si>
  <si>
    <t>AKT</t>
  </si>
  <si>
    <t>e</t>
  </si>
  <si>
    <t>|e|</t>
  </si>
  <si>
    <t>e^2</t>
  </si>
  <si>
    <t>|e/yt|</t>
  </si>
  <si>
    <t>MAPE</t>
  </si>
  <si>
    <t>MAE</t>
  </si>
  <si>
    <t>RMSE</t>
  </si>
  <si>
    <t>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</si>
</sst>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64" fontId="0" fillId="0" borderId="0" xfId="0" applyNumberFormat="1"/>
    <xf numFmtId="164" fontId="0" fillId="2" borderId="0" xfId="0" applyNumberFormat="1" applyFill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Sheet3!$G$1</c:f>
              <c:strCache>
                <c:ptCount val="1"/>
                <c:pt idx="0">
                  <c:v>FOR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Sheet3!$G$2:$G$15</c:f>
              <c:numCache>
                <c:formatCode>#,##0.000</c:formatCode>
                <c:ptCount val="14"/>
                <c:pt idx="0">
                  <c:v>142.49542</c:v>
                </c:pt>
                <c:pt idx="1">
                  <c:v>141.50324000000001</c:v>
                </c:pt>
                <c:pt idx="2">
                  <c:v>141.00215</c:v>
                </c:pt>
                <c:pt idx="3">
                  <c:v>140.74907999999999</c:v>
                </c:pt>
                <c:pt idx="4">
                  <c:v>140.62128000000001</c:v>
                </c:pt>
                <c:pt idx="5">
                  <c:v>140.55672999999999</c:v>
                </c:pt>
                <c:pt idx="6">
                  <c:v>140.52413000000001</c:v>
                </c:pt>
                <c:pt idx="7">
                  <c:v>140.50766999999999</c:v>
                </c:pt>
                <c:pt idx="8">
                  <c:v>140.49934999999999</c:v>
                </c:pt>
                <c:pt idx="9">
                  <c:v>140.49516</c:v>
                </c:pt>
                <c:pt idx="10">
                  <c:v>140.49303</c:v>
                </c:pt>
                <c:pt idx="11">
                  <c:v>140.49196000000001</c:v>
                </c:pt>
                <c:pt idx="12">
                  <c:v>140.49142000000001</c:v>
                </c:pt>
                <c:pt idx="13">
                  <c:v>140.49115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CE-4BBD-B88B-FF299B2305D4}"/>
            </c:ext>
          </c:extLst>
        </c:ser>
        <c:ser>
          <c:idx val="1"/>
          <c:order val="1"/>
          <c:tx>
            <c:strRef>
              <c:f>Sheet3!$I$1</c:f>
              <c:strCache>
                <c:ptCount val="1"/>
                <c:pt idx="0">
                  <c:v>UCL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Sheet3!$I$2:$I$15</c:f>
              <c:numCache>
                <c:formatCode>#,##0.000</c:formatCode>
                <c:ptCount val="14"/>
                <c:pt idx="0">
                  <c:v>139.86608000000001</c:v>
                </c:pt>
                <c:pt idx="1">
                  <c:v>136.75210999999999</c:v>
                </c:pt>
                <c:pt idx="2">
                  <c:v>134.36962</c:v>
                </c:pt>
                <c:pt idx="3">
                  <c:v>132.46311</c:v>
                </c:pt>
                <c:pt idx="4">
                  <c:v>130.87178</c:v>
                </c:pt>
                <c:pt idx="5">
                  <c:v>129.49584999999999</c:v>
                </c:pt>
                <c:pt idx="6">
                  <c:v>128.27296000000001</c:v>
                </c:pt>
                <c:pt idx="7">
                  <c:v>127.16331</c:v>
                </c:pt>
                <c:pt idx="8">
                  <c:v>126.14072</c:v>
                </c:pt>
                <c:pt idx="9">
                  <c:v>125.18736</c:v>
                </c:pt>
                <c:pt idx="10">
                  <c:v>124.29066</c:v>
                </c:pt>
                <c:pt idx="11">
                  <c:v>123.44144</c:v>
                </c:pt>
                <c:pt idx="12">
                  <c:v>122.63276999999999</c:v>
                </c:pt>
                <c:pt idx="13">
                  <c:v>121.85927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CE-4BBD-B88B-FF299B2305D4}"/>
            </c:ext>
          </c:extLst>
        </c:ser>
        <c:ser>
          <c:idx val="2"/>
          <c:order val="2"/>
          <c:tx>
            <c:strRef>
              <c:f>Sheet3!$J$1</c:f>
              <c:strCache>
                <c:ptCount val="1"/>
                <c:pt idx="0">
                  <c:v>LCL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Sheet3!$J$2:$J$15</c:f>
              <c:numCache>
                <c:formatCode>#,##0.000</c:formatCode>
                <c:ptCount val="14"/>
                <c:pt idx="0">
                  <c:v>145.12476000000001</c:v>
                </c:pt>
                <c:pt idx="1">
                  <c:v>146.25435999999999</c:v>
                </c:pt>
                <c:pt idx="2">
                  <c:v>147.63468</c:v>
                </c:pt>
                <c:pt idx="3">
                  <c:v>149.03505999999999</c:v>
                </c:pt>
                <c:pt idx="4">
                  <c:v>150.37076999999999</c:v>
                </c:pt>
                <c:pt idx="5">
                  <c:v>151.61761000000001</c:v>
                </c:pt>
                <c:pt idx="6">
                  <c:v>152.77529999999999</c:v>
                </c:pt>
                <c:pt idx="7">
                  <c:v>153.85202000000001</c:v>
                </c:pt>
                <c:pt idx="8">
                  <c:v>154.85799</c:v>
                </c:pt>
                <c:pt idx="9">
                  <c:v>155.80295000000001</c:v>
                </c:pt>
                <c:pt idx="10">
                  <c:v>156.69541000000001</c:v>
                </c:pt>
                <c:pt idx="11">
                  <c:v>157.54248999999999</c:v>
                </c:pt>
                <c:pt idx="12">
                  <c:v>158.35007999999999</c:v>
                </c:pt>
                <c:pt idx="13">
                  <c:v>159.12302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CE-4BBD-B88B-FF299B2305D4}"/>
            </c:ext>
          </c:extLst>
        </c:ser>
        <c:ser>
          <c:idx val="3"/>
          <c:order val="3"/>
          <c:tx>
            <c:strRef>
              <c:f>Sheet3!$K$1</c:f>
              <c:strCache>
                <c:ptCount val="1"/>
                <c:pt idx="0">
                  <c:v>AKT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Sheet3!$K$2:$K$15</c:f>
              <c:numCache>
                <c:formatCode>#,##0.000</c:formatCode>
                <c:ptCount val="14"/>
                <c:pt idx="0">
                  <c:v>140.87</c:v>
                </c:pt>
                <c:pt idx="1">
                  <c:v>143.84</c:v>
                </c:pt>
                <c:pt idx="2">
                  <c:v>145.33000000000001</c:v>
                </c:pt>
                <c:pt idx="3">
                  <c:v>141.9</c:v>
                </c:pt>
                <c:pt idx="4">
                  <c:v>142.16999999999999</c:v>
                </c:pt>
                <c:pt idx="5">
                  <c:v>142.01</c:v>
                </c:pt>
                <c:pt idx="6">
                  <c:v>143.55000000000001</c:v>
                </c:pt>
                <c:pt idx="7">
                  <c:v>146.5</c:v>
                </c:pt>
                <c:pt idx="8">
                  <c:v>148.32</c:v>
                </c:pt>
                <c:pt idx="9">
                  <c:v>152.66999999999999</c:v>
                </c:pt>
                <c:pt idx="10">
                  <c:v>148.06</c:v>
                </c:pt>
                <c:pt idx="11">
                  <c:v>152.81</c:v>
                </c:pt>
                <c:pt idx="12">
                  <c:v>153.16</c:v>
                </c:pt>
                <c:pt idx="13">
                  <c:v>149.41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7CE-4BBD-B88B-FF299B2305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7729327"/>
        <c:axId val="327729807"/>
      </c:lineChart>
      <c:catAx>
        <c:axId val="3277293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729807"/>
        <c:crosses val="autoZero"/>
        <c:auto val="1"/>
        <c:lblAlgn val="ctr"/>
        <c:lblOffset val="100"/>
        <c:noMultiLvlLbl val="0"/>
      </c:catAx>
      <c:valAx>
        <c:axId val="327729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729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Sheet3!$G$17</c:f>
              <c:strCache>
                <c:ptCount val="1"/>
                <c:pt idx="0">
                  <c:v>FOR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Sheet3!$G$18:$G$31</c:f>
              <c:numCache>
                <c:formatCode>0.000</c:formatCode>
                <c:ptCount val="14"/>
                <c:pt idx="0">
                  <c:v>114.54386</c:v>
                </c:pt>
                <c:pt idx="1">
                  <c:v>114.15693</c:v>
                </c:pt>
                <c:pt idx="2">
                  <c:v>113.96151999999999</c:v>
                </c:pt>
                <c:pt idx="3">
                  <c:v>113.86283</c:v>
                </c:pt>
                <c:pt idx="4">
                  <c:v>113.81298</c:v>
                </c:pt>
                <c:pt idx="5">
                  <c:v>113.78780999999999</c:v>
                </c:pt>
                <c:pt idx="6">
                  <c:v>113.77509999999999</c:v>
                </c:pt>
                <c:pt idx="7">
                  <c:v>113.76868</c:v>
                </c:pt>
                <c:pt idx="8">
                  <c:v>113.76544</c:v>
                </c:pt>
                <c:pt idx="9">
                  <c:v>113.7638</c:v>
                </c:pt>
                <c:pt idx="10">
                  <c:v>113.76297</c:v>
                </c:pt>
                <c:pt idx="11">
                  <c:v>113.76255</c:v>
                </c:pt>
                <c:pt idx="12">
                  <c:v>113.76233999999999</c:v>
                </c:pt>
                <c:pt idx="13">
                  <c:v>113.76224000000001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0A-426D-9578-CCBF4B23A944}"/>
            </c:ext>
          </c:extLst>
        </c:ser>
        <c:ser>
          <c:idx val="1"/>
          <c:order val="1"/>
          <c:tx>
            <c:strRef>
              <c:f>Sheet3!$I$17</c:f>
              <c:strCache>
                <c:ptCount val="1"/>
                <c:pt idx="0">
                  <c:v>UCL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Sheet3!$I$18:$I$31</c:f>
              <c:numCache>
                <c:formatCode>0.000</c:formatCode>
                <c:ptCount val="14"/>
                <c:pt idx="0">
                  <c:v>113.41042</c:v>
                </c:pt>
                <c:pt idx="1">
                  <c:v>112.39345</c:v>
                </c:pt>
                <c:pt idx="2">
                  <c:v>111.63517</c:v>
                </c:pt>
                <c:pt idx="3">
                  <c:v>111.03322</c:v>
                </c:pt>
                <c:pt idx="4">
                  <c:v>110.53234999999999</c:v>
                </c:pt>
                <c:pt idx="5">
                  <c:v>110.09954999999999</c:v>
                </c:pt>
                <c:pt idx="6">
                  <c:v>109.7146</c:v>
                </c:pt>
                <c:pt idx="7">
                  <c:v>109.36479</c:v>
                </c:pt>
                <c:pt idx="8">
                  <c:v>109.04186</c:v>
                </c:pt>
                <c:pt idx="9">
                  <c:v>108.74027</c:v>
                </c:pt>
                <c:pt idx="10">
                  <c:v>108.45614</c:v>
                </c:pt>
                <c:pt idx="11">
                  <c:v>108.18667000000001</c:v>
                </c:pt>
                <c:pt idx="12">
                  <c:v>107.92975</c:v>
                </c:pt>
                <c:pt idx="13">
                  <c:v>107.68371999999999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0A-426D-9578-CCBF4B23A944}"/>
            </c:ext>
          </c:extLst>
        </c:ser>
        <c:ser>
          <c:idx val="2"/>
          <c:order val="2"/>
          <c:tx>
            <c:strRef>
              <c:f>Sheet3!$J$17</c:f>
              <c:strCache>
                <c:ptCount val="1"/>
                <c:pt idx="0">
                  <c:v>LCL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Sheet3!$J$18:$J$31</c:f>
              <c:numCache>
                <c:formatCode>0.000</c:formatCode>
                <c:ptCount val="14"/>
                <c:pt idx="0">
                  <c:v>115.67729</c:v>
                </c:pt>
                <c:pt idx="1">
                  <c:v>115.92041</c:v>
                </c:pt>
                <c:pt idx="2">
                  <c:v>116.28785999999999</c:v>
                </c:pt>
                <c:pt idx="3">
                  <c:v>116.69243</c:v>
                </c:pt>
                <c:pt idx="4">
                  <c:v>117.09362</c:v>
                </c:pt>
                <c:pt idx="5">
                  <c:v>117.47607000000001</c:v>
                </c:pt>
                <c:pt idx="6">
                  <c:v>117.8356</c:v>
                </c:pt>
                <c:pt idx="7">
                  <c:v>118.17256999999999</c:v>
                </c:pt>
                <c:pt idx="8">
                  <c:v>118.48902</c:v>
                </c:pt>
                <c:pt idx="9">
                  <c:v>118.78733</c:v>
                </c:pt>
                <c:pt idx="10">
                  <c:v>119.0698</c:v>
                </c:pt>
                <c:pt idx="11">
                  <c:v>119.33843</c:v>
                </c:pt>
                <c:pt idx="12">
                  <c:v>119.59493999999999</c:v>
                </c:pt>
                <c:pt idx="13">
                  <c:v>119.84075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0A-426D-9578-CCBF4B23A944}"/>
            </c:ext>
          </c:extLst>
        </c:ser>
        <c:ser>
          <c:idx val="3"/>
          <c:order val="3"/>
          <c:tx>
            <c:strRef>
              <c:f>Sheet3!$K$17</c:f>
              <c:strCache>
                <c:ptCount val="1"/>
                <c:pt idx="0">
                  <c:v>AKT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Sheet3!$K$18:$K$31</c:f>
              <c:numCache>
                <c:formatCode>0.000</c:formatCode>
                <c:ptCount val="14"/>
                <c:pt idx="0">
                  <c:v>116.05</c:v>
                </c:pt>
                <c:pt idx="1">
                  <c:v>116.23</c:v>
                </c:pt>
                <c:pt idx="2">
                  <c:v>116.85</c:v>
                </c:pt>
                <c:pt idx="3">
                  <c:v>117.31</c:v>
                </c:pt>
                <c:pt idx="4">
                  <c:v>117.32</c:v>
                </c:pt>
                <c:pt idx="5">
                  <c:v>118.38</c:v>
                </c:pt>
                <c:pt idx="6">
                  <c:v>119.04</c:v>
                </c:pt>
                <c:pt idx="7">
                  <c:v>118.75</c:v>
                </c:pt>
                <c:pt idx="8">
                  <c:v>118.81</c:v>
                </c:pt>
                <c:pt idx="9">
                  <c:v>119.6</c:v>
                </c:pt>
                <c:pt idx="10">
                  <c:v>119.7</c:v>
                </c:pt>
                <c:pt idx="11">
                  <c:v>119.44</c:v>
                </c:pt>
                <c:pt idx="12">
                  <c:v>118.56</c:v>
                </c:pt>
                <c:pt idx="13">
                  <c:v>118.92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30A-426D-9578-CCBF4B23A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1262495"/>
        <c:axId val="831262975"/>
      </c:lineChart>
      <c:catAx>
        <c:axId val="8312624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262975"/>
        <c:crosses val="autoZero"/>
        <c:auto val="1"/>
        <c:lblAlgn val="ctr"/>
        <c:lblOffset val="100"/>
        <c:noMultiLvlLbl val="0"/>
      </c:catAx>
      <c:valAx>
        <c:axId val="831262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262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66562</xdr:colOff>
      <xdr:row>0</xdr:row>
      <xdr:rowOff>0</xdr:rowOff>
    </xdr:from>
    <xdr:to>
      <xdr:col>24</xdr:col>
      <xdr:colOff>175963</xdr:colOff>
      <xdr:row>14</xdr:row>
      <xdr:rowOff>168314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336EB6-76EA-F795-A21A-B073A107B5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43609</xdr:colOff>
      <xdr:row>15</xdr:row>
      <xdr:rowOff>173821</xdr:rowOff>
    </xdr:from>
    <xdr:to>
      <xdr:col>25</xdr:col>
      <xdr:colOff>331271</xdr:colOff>
      <xdr:row>30</xdr:row>
      <xdr:rowOff>162804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0558FA2-E870-4608-D7C8-B2953035E2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FD85E-2CAB-4B7A-8148-F4516622A669}">
  <dimension ref="A1:R64"/>
  <sheetViews>
    <sheetView tabSelected="1" zoomScale="71" workbookViewId="0">
      <selection activeCell="P9" sqref="P9"/>
    </sheetView>
  </sheetViews>
  <sheetFormatPr defaultRowHeight="14.5" x14ac:dyDescent="0.35"/>
  <sheetData>
    <row r="1" spans="1:18" x14ac:dyDescent="0.35">
      <c r="A1" t="s">
        <v>0</v>
      </c>
      <c r="B1" t="s">
        <v>3</v>
      </c>
      <c r="C1" t="s">
        <v>2</v>
      </c>
      <c r="D1" t="s">
        <v>1</v>
      </c>
      <c r="F1" s="1" t="s">
        <v>16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s="1" t="s">
        <v>13</v>
      </c>
      <c r="Q1" s="1" t="s">
        <v>14</v>
      </c>
      <c r="R1" s="1" t="s">
        <v>15</v>
      </c>
    </row>
    <row r="2" spans="1:18" x14ac:dyDescent="0.35">
      <c r="A2">
        <v>106.89</v>
      </c>
      <c r="B2">
        <v>101.81</v>
      </c>
      <c r="C2">
        <v>140.87</v>
      </c>
      <c r="D2">
        <v>116.05</v>
      </c>
      <c r="F2">
        <v>64</v>
      </c>
      <c r="G2" s="2">
        <v>142.49542</v>
      </c>
      <c r="H2" s="2">
        <v>1.34152</v>
      </c>
      <c r="I2" s="2">
        <v>139.86608000000001</v>
      </c>
      <c r="J2" s="2">
        <v>145.12476000000001</v>
      </c>
      <c r="K2" s="2">
        <v>140.87</v>
      </c>
      <c r="L2" s="2">
        <f t="shared" ref="L2:L15" si="0">K2-G2</f>
        <v>-1.6254199999999912</v>
      </c>
      <c r="M2" s="2">
        <f t="shared" ref="M2:M15" si="1">ABS(L2)</f>
        <v>1.6254199999999912</v>
      </c>
      <c r="N2" s="2">
        <f>L2^2</f>
        <v>2.6419901763999714</v>
      </c>
      <c r="O2" s="2">
        <f>ABS(L2/K2)</f>
        <v>1.1538439696173715E-2</v>
      </c>
      <c r="P2" s="3">
        <f>SUM(O2:O15)/15*100</f>
        <v>3.7025588488090557</v>
      </c>
      <c r="Q2" s="3">
        <f>SUM(M2:M15)/15</f>
        <v>5.5286046666666646</v>
      </c>
      <c r="R2" s="3">
        <f>SQRT(SUM(N2:N16)/15)</f>
        <v>7.0054884187066708</v>
      </c>
    </row>
    <row r="3" spans="1:18" x14ac:dyDescent="0.35">
      <c r="A3">
        <v>105.14</v>
      </c>
      <c r="B3">
        <v>100.91</v>
      </c>
      <c r="C3">
        <v>143.84</v>
      </c>
      <c r="D3">
        <v>116.23</v>
      </c>
      <c r="F3">
        <v>65</v>
      </c>
      <c r="G3" s="2">
        <v>141.50324000000001</v>
      </c>
      <c r="H3" s="2">
        <v>2.4240900000000001</v>
      </c>
      <c r="I3" s="2">
        <v>136.75210999999999</v>
      </c>
      <c r="J3" s="2">
        <v>146.25435999999999</v>
      </c>
      <c r="K3" s="2">
        <v>143.84</v>
      </c>
      <c r="L3" s="2">
        <f t="shared" si="0"/>
        <v>2.3367599999999982</v>
      </c>
      <c r="M3" s="2">
        <f t="shared" si="1"/>
        <v>2.3367599999999982</v>
      </c>
      <c r="N3" s="2">
        <f t="shared" ref="N3:N15" si="2">L3^2</f>
        <v>5.4604472975999911</v>
      </c>
      <c r="O3" s="2">
        <f t="shared" ref="O3:O15" si="3">ABS(L3/K3)</f>
        <v>1.6245550611790865E-2</v>
      </c>
      <c r="P3" s="2"/>
      <c r="Q3" s="2"/>
      <c r="R3" s="2"/>
    </row>
    <row r="4" spans="1:18" x14ac:dyDescent="0.35">
      <c r="A4">
        <v>105.08</v>
      </c>
      <c r="B4">
        <v>101.26</v>
      </c>
      <c r="C4">
        <v>145.33000000000001</v>
      </c>
      <c r="D4">
        <v>116.85</v>
      </c>
      <c r="F4">
        <v>66</v>
      </c>
      <c r="G4" s="2">
        <v>141.00215</v>
      </c>
      <c r="H4" s="2">
        <v>3.38401</v>
      </c>
      <c r="I4" s="2">
        <v>134.36962</v>
      </c>
      <c r="J4" s="2">
        <v>147.63468</v>
      </c>
      <c r="K4" s="2">
        <v>145.33000000000001</v>
      </c>
      <c r="L4" s="2">
        <f t="shared" si="0"/>
        <v>4.3278500000000122</v>
      </c>
      <c r="M4" s="2">
        <f t="shared" si="1"/>
        <v>4.3278500000000122</v>
      </c>
      <c r="N4" s="2">
        <f t="shared" si="2"/>
        <v>18.730285622500105</v>
      </c>
      <c r="O4" s="2">
        <f t="shared" si="3"/>
        <v>2.9779467418977582E-2</v>
      </c>
      <c r="P4" s="2"/>
      <c r="Q4" s="2"/>
      <c r="R4" s="2"/>
    </row>
    <row r="5" spans="1:18" x14ac:dyDescent="0.35">
      <c r="A5">
        <v>104.41</v>
      </c>
      <c r="B5">
        <v>99.77</v>
      </c>
      <c r="C5">
        <v>141.9</v>
      </c>
      <c r="D5">
        <v>117.31</v>
      </c>
      <c r="F5">
        <v>67</v>
      </c>
      <c r="G5" s="2">
        <v>140.74907999999999</v>
      </c>
      <c r="H5" s="2">
        <v>4.2276199999999999</v>
      </c>
      <c r="I5" s="2">
        <v>132.46311</v>
      </c>
      <c r="J5" s="2">
        <v>149.03505999999999</v>
      </c>
      <c r="K5" s="2">
        <v>141.9</v>
      </c>
      <c r="L5" s="2">
        <f t="shared" si="0"/>
        <v>1.1509200000000135</v>
      </c>
      <c r="M5" s="2">
        <f t="shared" si="1"/>
        <v>1.1509200000000135</v>
      </c>
      <c r="N5" s="2">
        <f t="shared" si="2"/>
        <v>1.324616846400031</v>
      </c>
      <c r="O5" s="2">
        <f t="shared" si="3"/>
        <v>8.1107822410148942E-3</v>
      </c>
      <c r="P5" s="2"/>
      <c r="Q5" s="2"/>
      <c r="R5" s="2"/>
    </row>
    <row r="6" spans="1:18" x14ac:dyDescent="0.35">
      <c r="A6">
        <v>104.91</v>
      </c>
      <c r="B6">
        <v>99.34</v>
      </c>
      <c r="C6">
        <v>142.16999999999999</v>
      </c>
      <c r="D6">
        <v>117.32</v>
      </c>
      <c r="F6">
        <v>68</v>
      </c>
      <c r="G6" s="2">
        <v>140.62128000000001</v>
      </c>
      <c r="H6" s="2">
        <v>4.9743199999999996</v>
      </c>
      <c r="I6" s="2">
        <v>130.87178</v>
      </c>
      <c r="J6" s="2">
        <v>150.37076999999999</v>
      </c>
      <c r="K6" s="2">
        <v>142.16999999999999</v>
      </c>
      <c r="L6" s="2">
        <f t="shared" si="0"/>
        <v>1.5487199999999746</v>
      </c>
      <c r="M6" s="2">
        <f t="shared" si="1"/>
        <v>1.5487199999999746</v>
      </c>
      <c r="N6" s="2">
        <f t="shared" si="2"/>
        <v>2.3985336383999214</v>
      </c>
      <c r="O6" s="2">
        <f t="shared" si="3"/>
        <v>1.0893437434057639E-2</v>
      </c>
      <c r="P6" s="2"/>
      <c r="Q6" s="2"/>
      <c r="R6" s="2"/>
    </row>
    <row r="7" spans="1:18" x14ac:dyDescent="0.35">
      <c r="A7">
        <v>106.12</v>
      </c>
      <c r="B7">
        <v>98.94</v>
      </c>
      <c r="C7">
        <v>142.01</v>
      </c>
      <c r="D7">
        <v>118.38</v>
      </c>
      <c r="F7">
        <v>69</v>
      </c>
      <c r="G7" s="2">
        <v>140.55672999999999</v>
      </c>
      <c r="H7" s="2">
        <v>5.6434100000000003</v>
      </c>
      <c r="I7" s="2">
        <v>129.49584999999999</v>
      </c>
      <c r="J7" s="2">
        <v>151.61761000000001</v>
      </c>
      <c r="K7" s="2">
        <v>142.01</v>
      </c>
      <c r="L7" s="2">
        <f t="shared" si="0"/>
        <v>1.4532700000000034</v>
      </c>
      <c r="M7" s="2">
        <f t="shared" si="1"/>
        <v>1.4532700000000034</v>
      </c>
      <c r="N7" s="2">
        <f t="shared" si="2"/>
        <v>2.1119936929000098</v>
      </c>
      <c r="O7" s="2">
        <f t="shared" si="3"/>
        <v>1.0233575100345071E-2</v>
      </c>
      <c r="P7" s="2"/>
      <c r="Q7" s="2"/>
      <c r="R7" s="2"/>
    </row>
    <row r="8" spans="1:18" x14ac:dyDescent="0.35">
      <c r="A8">
        <v>107.82</v>
      </c>
      <c r="B8">
        <v>99.38</v>
      </c>
      <c r="C8">
        <v>143.55000000000001</v>
      </c>
      <c r="D8">
        <v>119.04</v>
      </c>
      <c r="F8">
        <v>70</v>
      </c>
      <c r="G8" s="2">
        <v>140.52413000000001</v>
      </c>
      <c r="H8" s="2">
        <v>6.2507099999999998</v>
      </c>
      <c r="I8" s="2">
        <v>128.27296000000001</v>
      </c>
      <c r="J8" s="2">
        <v>152.77529999999999</v>
      </c>
      <c r="K8" s="2">
        <v>143.55000000000001</v>
      </c>
      <c r="L8" s="2">
        <f t="shared" si="0"/>
        <v>3.0258699999999976</v>
      </c>
      <c r="M8" s="2">
        <f t="shared" si="1"/>
        <v>3.0258699999999976</v>
      </c>
      <c r="N8" s="2">
        <f t="shared" si="2"/>
        <v>9.1558892568999859</v>
      </c>
      <c r="O8" s="2">
        <f t="shared" si="3"/>
        <v>2.1078857540926487E-2</v>
      </c>
      <c r="P8" s="2"/>
      <c r="Q8" s="2"/>
      <c r="R8" s="2"/>
    </row>
    <row r="9" spans="1:18" x14ac:dyDescent="0.35">
      <c r="A9">
        <v>108.82</v>
      </c>
      <c r="B9">
        <v>99.78</v>
      </c>
      <c r="C9">
        <v>146.5</v>
      </c>
      <c r="D9">
        <v>118.75</v>
      </c>
      <c r="F9">
        <v>71</v>
      </c>
      <c r="G9" s="2">
        <v>140.50766999999999</v>
      </c>
      <c r="H9" s="2">
        <v>6.8084699999999998</v>
      </c>
      <c r="I9" s="2">
        <v>127.16331</v>
      </c>
      <c r="J9" s="2">
        <v>153.85202000000001</v>
      </c>
      <c r="K9" s="2">
        <v>146.5</v>
      </c>
      <c r="L9" s="2">
        <f t="shared" si="0"/>
        <v>5.9923300000000097</v>
      </c>
      <c r="M9" s="2">
        <f t="shared" si="1"/>
        <v>5.9923300000000097</v>
      </c>
      <c r="N9" s="2">
        <f t="shared" si="2"/>
        <v>35.908018828900119</v>
      </c>
      <c r="O9" s="2">
        <f t="shared" si="3"/>
        <v>4.0903276450512012E-2</v>
      </c>
      <c r="P9" s="2"/>
      <c r="Q9" s="2"/>
      <c r="R9" s="2"/>
    </row>
    <row r="10" spans="1:18" x14ac:dyDescent="0.35">
      <c r="A10">
        <v>109.66</v>
      </c>
      <c r="B10">
        <v>100.39</v>
      </c>
      <c r="C10">
        <v>148.32</v>
      </c>
      <c r="D10">
        <v>118.81</v>
      </c>
      <c r="F10">
        <v>72</v>
      </c>
      <c r="G10" s="2">
        <v>140.49934999999999</v>
      </c>
      <c r="H10" s="2">
        <v>7.3259699999999999</v>
      </c>
      <c r="I10" s="2">
        <v>126.14072</v>
      </c>
      <c r="J10" s="2">
        <v>154.85799</v>
      </c>
      <c r="K10" s="2">
        <v>148.32</v>
      </c>
      <c r="L10" s="2">
        <f t="shared" si="0"/>
        <v>7.8206500000000005</v>
      </c>
      <c r="M10" s="2">
        <f t="shared" si="1"/>
        <v>7.8206500000000005</v>
      </c>
      <c r="N10" s="2">
        <f t="shared" si="2"/>
        <v>61.162566422500007</v>
      </c>
      <c r="O10" s="2">
        <f t="shared" si="3"/>
        <v>5.2728222761596555E-2</v>
      </c>
      <c r="P10" s="2"/>
      <c r="Q10" s="2"/>
      <c r="R10" s="2"/>
    </row>
    <row r="11" spans="1:18" x14ac:dyDescent="0.35">
      <c r="A11">
        <v>110.2</v>
      </c>
      <c r="B11">
        <v>101.11</v>
      </c>
      <c r="C11">
        <v>152.66999999999999</v>
      </c>
      <c r="D11">
        <v>119.6</v>
      </c>
      <c r="F11">
        <v>73</v>
      </c>
      <c r="G11" s="2">
        <v>140.49516</v>
      </c>
      <c r="H11" s="2">
        <v>7.8102400000000003</v>
      </c>
      <c r="I11" s="2">
        <v>125.18736</v>
      </c>
      <c r="J11" s="2">
        <v>155.80295000000001</v>
      </c>
      <c r="K11" s="2">
        <v>152.66999999999999</v>
      </c>
      <c r="L11" s="2">
        <f t="shared" si="0"/>
        <v>12.174839999999989</v>
      </c>
      <c r="M11" s="2">
        <f t="shared" si="1"/>
        <v>12.174839999999989</v>
      </c>
      <c r="N11" s="2">
        <f t="shared" si="2"/>
        <v>148.22672902559972</v>
      </c>
      <c r="O11" s="2">
        <f t="shared" si="3"/>
        <v>7.9746119080369354E-2</v>
      </c>
      <c r="P11" s="2"/>
      <c r="Q11" s="2"/>
      <c r="R11" s="2"/>
    </row>
    <row r="12" spans="1:18" x14ac:dyDescent="0.35">
      <c r="A12">
        <v>110.6</v>
      </c>
      <c r="B12">
        <v>101.4</v>
      </c>
      <c r="C12">
        <v>148.06</v>
      </c>
      <c r="D12">
        <v>119.7</v>
      </c>
      <c r="F12">
        <v>74</v>
      </c>
      <c r="G12" s="2">
        <v>140.49303</v>
      </c>
      <c r="H12" s="2">
        <v>8.2666699999999995</v>
      </c>
      <c r="I12" s="2">
        <v>124.29066</v>
      </c>
      <c r="J12" s="2">
        <v>156.69541000000001</v>
      </c>
      <c r="K12" s="2">
        <v>148.06</v>
      </c>
      <c r="L12" s="2">
        <f t="shared" si="0"/>
        <v>7.5669699999999978</v>
      </c>
      <c r="M12" s="2">
        <f t="shared" si="1"/>
        <v>7.5669699999999978</v>
      </c>
      <c r="N12" s="2">
        <f t="shared" si="2"/>
        <v>57.259034980899969</v>
      </c>
      <c r="O12" s="2">
        <f t="shared" si="3"/>
        <v>5.1107456436579747E-2</v>
      </c>
      <c r="P12" s="2"/>
      <c r="Q12" s="2"/>
      <c r="R12" s="2"/>
    </row>
    <row r="13" spans="1:18" x14ac:dyDescent="0.35">
      <c r="A13">
        <v>110.81</v>
      </c>
      <c r="B13">
        <v>101.4</v>
      </c>
      <c r="C13">
        <v>152.81</v>
      </c>
      <c r="D13">
        <v>119.44</v>
      </c>
      <c r="F13">
        <v>75</v>
      </c>
      <c r="G13" s="2">
        <v>140.49196000000001</v>
      </c>
      <c r="H13" s="2">
        <v>8.6994100000000003</v>
      </c>
      <c r="I13" s="2">
        <v>123.44144</v>
      </c>
      <c r="J13" s="2">
        <v>157.54248999999999</v>
      </c>
      <c r="K13" s="2">
        <v>152.81</v>
      </c>
      <c r="L13" s="2">
        <f t="shared" si="0"/>
        <v>12.318039999999996</v>
      </c>
      <c r="M13" s="2">
        <f t="shared" si="1"/>
        <v>12.318039999999996</v>
      </c>
      <c r="N13" s="2">
        <f t="shared" si="2"/>
        <v>151.73410944159991</v>
      </c>
      <c r="O13" s="2">
        <f t="shared" si="3"/>
        <v>8.0610169491525399E-2</v>
      </c>
      <c r="P13" s="2"/>
      <c r="Q13" s="2"/>
      <c r="R13" s="2"/>
    </row>
    <row r="14" spans="1:18" x14ac:dyDescent="0.35">
      <c r="A14">
        <v>112.24</v>
      </c>
      <c r="B14">
        <v>101.39</v>
      </c>
      <c r="C14">
        <v>153.16</v>
      </c>
      <c r="D14">
        <v>118.56</v>
      </c>
      <c r="F14">
        <v>76</v>
      </c>
      <c r="G14" s="2">
        <v>140.49142000000001</v>
      </c>
      <c r="H14" s="2">
        <v>9.1117299999999997</v>
      </c>
      <c r="I14" s="2">
        <v>122.63276999999999</v>
      </c>
      <c r="J14" s="2">
        <v>158.35007999999999</v>
      </c>
      <c r="K14" s="2">
        <v>153.16</v>
      </c>
      <c r="L14" s="2">
        <f t="shared" si="0"/>
        <v>12.668579999999992</v>
      </c>
      <c r="M14" s="2">
        <f t="shared" si="1"/>
        <v>12.668579999999992</v>
      </c>
      <c r="N14" s="2">
        <f t="shared" si="2"/>
        <v>160.4929192163998</v>
      </c>
      <c r="O14" s="2">
        <f t="shared" si="3"/>
        <v>8.2714677461478134E-2</v>
      </c>
      <c r="P14" s="2"/>
      <c r="Q14" s="2"/>
      <c r="R14" s="2"/>
    </row>
    <row r="15" spans="1:18" x14ac:dyDescent="0.35">
      <c r="A15">
        <v>113.32</v>
      </c>
      <c r="B15">
        <v>101.65</v>
      </c>
      <c r="C15">
        <v>149.41</v>
      </c>
      <c r="D15">
        <v>118.92</v>
      </c>
      <c r="F15">
        <v>77</v>
      </c>
      <c r="G15" s="2">
        <v>140.49115</v>
      </c>
      <c r="H15" s="2">
        <v>9.5062300000000004</v>
      </c>
      <c r="I15" s="2">
        <v>121.85927</v>
      </c>
      <c r="J15" s="2">
        <v>159.12302</v>
      </c>
      <c r="K15" s="2">
        <v>149.41</v>
      </c>
      <c r="L15" s="2">
        <f t="shared" si="0"/>
        <v>8.918849999999992</v>
      </c>
      <c r="M15" s="2">
        <f t="shared" si="1"/>
        <v>8.918849999999992</v>
      </c>
      <c r="N15" s="2">
        <f t="shared" si="2"/>
        <v>79.545885322499856</v>
      </c>
      <c r="O15" s="2">
        <f t="shared" si="3"/>
        <v>5.9693795596010922E-2</v>
      </c>
      <c r="P15" s="2"/>
      <c r="Q15" s="2"/>
      <c r="R15" s="2"/>
    </row>
    <row r="16" spans="1:18" x14ac:dyDescent="0.35">
      <c r="A16">
        <v>112.67</v>
      </c>
      <c r="B16">
        <v>101.19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x14ac:dyDescent="0.35">
      <c r="A17">
        <v>111.15</v>
      </c>
      <c r="B17">
        <v>101.7</v>
      </c>
      <c r="F17" s="1" t="s">
        <v>16</v>
      </c>
      <c r="G17" t="s">
        <v>4</v>
      </c>
      <c r="H17" t="s">
        <v>5</v>
      </c>
      <c r="I17" t="s">
        <v>6</v>
      </c>
      <c r="J17" t="s">
        <v>7</v>
      </c>
      <c r="K17" t="s">
        <v>8</v>
      </c>
      <c r="L17" t="s">
        <v>9</v>
      </c>
      <c r="M17" t="s">
        <v>10</v>
      </c>
      <c r="N17" t="s">
        <v>11</v>
      </c>
      <c r="O17" t="s">
        <v>12</v>
      </c>
      <c r="P17" s="1" t="s">
        <v>13</v>
      </c>
      <c r="Q17" s="1" t="s">
        <v>14</v>
      </c>
      <c r="R17" s="1" t="s">
        <v>15</v>
      </c>
    </row>
    <row r="18" spans="1:18" x14ac:dyDescent="0.35">
      <c r="A18">
        <v>111.32</v>
      </c>
      <c r="B18">
        <v>101.25</v>
      </c>
      <c r="F18">
        <v>64</v>
      </c>
      <c r="G18" s="4">
        <v>114.54386</v>
      </c>
      <c r="H18" s="4">
        <v>0.57828999999999997</v>
      </c>
      <c r="I18" s="4">
        <v>113.41042</v>
      </c>
      <c r="J18" s="4">
        <v>115.67729</v>
      </c>
      <c r="K18" s="4">
        <v>116.05</v>
      </c>
      <c r="L18" s="4">
        <f t="shared" ref="L18:L31" si="4">K18-G18</f>
        <v>1.506140000000002</v>
      </c>
      <c r="M18" s="4">
        <f>ABS(L18)</f>
        <v>1.506140000000002</v>
      </c>
      <c r="N18" s="4">
        <f>L18^2</f>
        <v>2.2684576996000061</v>
      </c>
      <c r="O18" s="4">
        <f>ABS(L18/K18)</f>
        <v>1.2978371391641551E-2</v>
      </c>
      <c r="P18" s="3">
        <f>SUM(O18:O31)/15*100</f>
        <v>3.4133819279385254</v>
      </c>
      <c r="Q18" s="3">
        <f>SUM(M18:M31)/15</f>
        <v>4.0473966666666676</v>
      </c>
      <c r="R18" s="3">
        <f>SQRT(SUM(N18:N43)/15)</f>
        <v>4.3918341143756026</v>
      </c>
    </row>
    <row r="19" spans="1:18" x14ac:dyDescent="0.35">
      <c r="A19">
        <v>110.89</v>
      </c>
      <c r="B19">
        <v>101.74</v>
      </c>
      <c r="F19">
        <v>65</v>
      </c>
      <c r="G19" s="4">
        <v>114.15693</v>
      </c>
      <c r="H19" s="4">
        <v>0.89975000000000005</v>
      </c>
      <c r="I19" s="4">
        <v>112.39345</v>
      </c>
      <c r="J19" s="4">
        <v>115.92041</v>
      </c>
      <c r="K19" s="4">
        <v>116.23</v>
      </c>
      <c r="L19" s="4">
        <f t="shared" si="4"/>
        <v>2.0730700000000013</v>
      </c>
      <c r="M19" s="4">
        <f t="shared" ref="M19:M31" si="5">ABS(L19)</f>
        <v>2.0730700000000013</v>
      </c>
      <c r="N19" s="4">
        <f t="shared" ref="N19:N31" si="6">L19^2</f>
        <v>4.2976192249000054</v>
      </c>
      <c r="O19" s="4">
        <f t="shared" ref="O19:O31" si="7">ABS(L19/K19)</f>
        <v>1.7835928761937549E-2</v>
      </c>
    </row>
    <row r="20" spans="1:18" x14ac:dyDescent="0.35">
      <c r="A20">
        <v>111.88</v>
      </c>
      <c r="B20">
        <v>101.7</v>
      </c>
      <c r="F20">
        <v>66</v>
      </c>
      <c r="G20" s="4">
        <v>113.96151999999999</v>
      </c>
      <c r="H20" s="4">
        <v>1.18693</v>
      </c>
      <c r="I20" s="4">
        <v>111.63517</v>
      </c>
      <c r="J20" s="4">
        <v>116.28785999999999</v>
      </c>
      <c r="K20" s="4">
        <v>116.85</v>
      </c>
      <c r="L20" s="4">
        <f t="shared" si="4"/>
        <v>2.8884800000000013</v>
      </c>
      <c r="M20" s="4">
        <f t="shared" si="5"/>
        <v>2.8884800000000013</v>
      </c>
      <c r="N20" s="4">
        <f t="shared" si="6"/>
        <v>8.343316710400007</v>
      </c>
      <c r="O20" s="4">
        <f t="shared" si="7"/>
        <v>2.4719554985023547E-2</v>
      </c>
    </row>
    <row r="21" spans="1:18" x14ac:dyDescent="0.35">
      <c r="A21">
        <v>112</v>
      </c>
      <c r="B21">
        <v>101.15</v>
      </c>
      <c r="F21">
        <v>67</v>
      </c>
      <c r="G21" s="4">
        <v>113.86283</v>
      </c>
      <c r="H21" s="4">
        <v>1.4437</v>
      </c>
      <c r="I21" s="4">
        <v>111.03322</v>
      </c>
      <c r="J21" s="4">
        <v>116.69243</v>
      </c>
      <c r="K21" s="4">
        <v>117.31</v>
      </c>
      <c r="L21" s="4">
        <f t="shared" si="4"/>
        <v>3.4471699999999998</v>
      </c>
      <c r="M21" s="4">
        <f t="shared" si="5"/>
        <v>3.4471699999999998</v>
      </c>
      <c r="N21" s="4">
        <f t="shared" si="6"/>
        <v>11.882981008899998</v>
      </c>
      <c r="O21" s="4">
        <f t="shared" si="7"/>
        <v>2.9385133407211661E-2</v>
      </c>
    </row>
    <row r="22" spans="1:18" x14ac:dyDescent="0.35">
      <c r="A22">
        <v>112.26</v>
      </c>
      <c r="B22">
        <v>101.11</v>
      </c>
      <c r="F22">
        <v>68</v>
      </c>
      <c r="G22" s="4">
        <v>113.81298</v>
      </c>
      <c r="H22" s="4">
        <v>1.6738299999999999</v>
      </c>
      <c r="I22" s="4">
        <v>110.53234999999999</v>
      </c>
      <c r="J22" s="4">
        <v>117.09362</v>
      </c>
      <c r="K22" s="4">
        <v>117.32</v>
      </c>
      <c r="L22" s="4">
        <f t="shared" si="4"/>
        <v>3.5070199999999971</v>
      </c>
      <c r="M22" s="4">
        <f t="shared" si="5"/>
        <v>3.5070199999999971</v>
      </c>
      <c r="N22" s="4">
        <f t="shared" si="6"/>
        <v>12.299189280399981</v>
      </c>
      <c r="O22" s="4">
        <f t="shared" si="7"/>
        <v>2.9892771905898376E-2</v>
      </c>
    </row>
    <row r="23" spans="1:18" x14ac:dyDescent="0.35">
      <c r="A23">
        <v>113.8</v>
      </c>
      <c r="B23">
        <v>101.83</v>
      </c>
      <c r="F23">
        <v>69</v>
      </c>
      <c r="G23" s="4">
        <v>113.78780999999999</v>
      </c>
      <c r="H23" s="4">
        <v>1.8817999999999999</v>
      </c>
      <c r="I23" s="4">
        <v>110.09954999999999</v>
      </c>
      <c r="J23" s="4">
        <v>117.47607000000001</v>
      </c>
      <c r="K23" s="4">
        <v>118.38</v>
      </c>
      <c r="L23" s="4">
        <f t="shared" si="4"/>
        <v>4.5921900000000022</v>
      </c>
      <c r="M23" s="4">
        <f t="shared" si="5"/>
        <v>4.5921900000000022</v>
      </c>
      <c r="N23" s="4">
        <f t="shared" si="6"/>
        <v>21.088208996100022</v>
      </c>
      <c r="O23" s="4">
        <f t="shared" si="7"/>
        <v>3.8791941206284868E-2</v>
      </c>
    </row>
    <row r="24" spans="1:18" x14ac:dyDescent="0.35">
      <c r="A24">
        <v>114.98</v>
      </c>
      <c r="B24">
        <v>101.99</v>
      </c>
      <c r="F24">
        <v>70</v>
      </c>
      <c r="G24" s="4">
        <v>113.77509999999999</v>
      </c>
      <c r="H24" s="4">
        <v>2.07172</v>
      </c>
      <c r="I24" s="4">
        <v>109.7146</v>
      </c>
      <c r="J24" s="4">
        <v>117.8356</v>
      </c>
      <c r="K24" s="4">
        <v>119.04</v>
      </c>
      <c r="L24" s="4">
        <f t="shared" si="4"/>
        <v>5.2649000000000115</v>
      </c>
      <c r="M24" s="4">
        <f t="shared" si="5"/>
        <v>5.2649000000000115</v>
      </c>
      <c r="N24" s="4">
        <f t="shared" si="6"/>
        <v>27.719172010000122</v>
      </c>
      <c r="O24" s="4">
        <f t="shared" si="7"/>
        <v>4.4227990591397946E-2</v>
      </c>
    </row>
    <row r="25" spans="1:18" x14ac:dyDescent="0.35">
      <c r="A25">
        <v>115.72</v>
      </c>
      <c r="B25">
        <v>102.45</v>
      </c>
      <c r="F25">
        <v>71</v>
      </c>
      <c r="G25" s="4">
        <v>113.76868</v>
      </c>
      <c r="H25" s="4">
        <v>2.2469299999999999</v>
      </c>
      <c r="I25" s="4">
        <v>109.36479</v>
      </c>
      <c r="J25" s="4">
        <v>118.17256999999999</v>
      </c>
      <c r="K25" s="4">
        <v>118.75</v>
      </c>
      <c r="L25" s="4">
        <f t="shared" si="4"/>
        <v>4.9813199999999966</v>
      </c>
      <c r="M25" s="4">
        <f t="shared" si="5"/>
        <v>4.9813199999999966</v>
      </c>
      <c r="N25" s="4">
        <f t="shared" si="6"/>
        <v>24.813548942399965</v>
      </c>
      <c r="O25" s="4">
        <f t="shared" si="7"/>
        <v>4.1947957894736813E-2</v>
      </c>
    </row>
    <row r="26" spans="1:18" x14ac:dyDescent="0.35">
      <c r="A26">
        <v>116.49</v>
      </c>
      <c r="B26">
        <v>103.17</v>
      </c>
      <c r="F26">
        <v>72</v>
      </c>
      <c r="G26" s="4">
        <v>113.76544</v>
      </c>
      <c r="H26" s="4">
        <v>2.4100299999999999</v>
      </c>
      <c r="I26" s="4">
        <v>109.04186</v>
      </c>
      <c r="J26" s="4">
        <v>118.48902</v>
      </c>
      <c r="K26" s="4">
        <v>118.81</v>
      </c>
      <c r="L26" s="4">
        <f t="shared" si="4"/>
        <v>5.0445600000000042</v>
      </c>
      <c r="M26" s="4">
        <f t="shared" si="5"/>
        <v>5.0445600000000042</v>
      </c>
      <c r="N26" s="4">
        <f t="shared" si="6"/>
        <v>25.447585593600042</v>
      </c>
      <c r="O26" s="4">
        <f t="shared" si="7"/>
        <v>4.2459052268327614E-2</v>
      </c>
    </row>
    <row r="27" spans="1:18" x14ac:dyDescent="0.35">
      <c r="A27">
        <v>115.88</v>
      </c>
      <c r="B27">
        <v>102.43</v>
      </c>
      <c r="F27">
        <v>73</v>
      </c>
      <c r="G27" s="4">
        <v>113.7638</v>
      </c>
      <c r="H27" s="4">
        <v>2.5630700000000002</v>
      </c>
      <c r="I27" s="4">
        <v>108.74027</v>
      </c>
      <c r="J27" s="4">
        <v>118.78733</v>
      </c>
      <c r="K27" s="4">
        <v>119.6</v>
      </c>
      <c r="L27" s="4">
        <f t="shared" si="4"/>
        <v>5.836199999999991</v>
      </c>
      <c r="M27" s="4">
        <f t="shared" si="5"/>
        <v>5.836199999999991</v>
      </c>
      <c r="N27" s="4">
        <f t="shared" si="6"/>
        <v>34.061230439999896</v>
      </c>
      <c r="O27" s="4">
        <f t="shared" si="7"/>
        <v>4.8797658862876181E-2</v>
      </c>
    </row>
    <row r="28" spans="1:18" x14ac:dyDescent="0.35">
      <c r="A28">
        <v>114.24</v>
      </c>
      <c r="B28">
        <v>101.23</v>
      </c>
      <c r="F28">
        <v>74</v>
      </c>
      <c r="G28" s="4">
        <v>113.76297</v>
      </c>
      <c r="H28" s="4">
        <v>2.7076199999999999</v>
      </c>
      <c r="I28" s="4">
        <v>108.45614</v>
      </c>
      <c r="J28" s="4">
        <v>119.0698</v>
      </c>
      <c r="K28" s="4">
        <v>119.7</v>
      </c>
      <c r="L28" s="4">
        <f t="shared" si="4"/>
        <v>5.9370300000000071</v>
      </c>
      <c r="M28" s="4">
        <f t="shared" si="5"/>
        <v>5.9370300000000071</v>
      </c>
      <c r="N28" s="4">
        <f t="shared" si="6"/>
        <v>35.248325220900085</v>
      </c>
      <c r="O28" s="4">
        <f t="shared" si="7"/>
        <v>4.959924812030081E-2</v>
      </c>
    </row>
    <row r="29" spans="1:18" x14ac:dyDescent="0.35">
      <c r="A29">
        <v>113.41</v>
      </c>
      <c r="B29">
        <v>101.06</v>
      </c>
      <c r="F29">
        <v>75</v>
      </c>
      <c r="G29" s="4">
        <v>113.76255</v>
      </c>
      <c r="H29" s="4">
        <v>2.8448899999999999</v>
      </c>
      <c r="I29" s="4">
        <v>108.18667000000001</v>
      </c>
      <c r="J29" s="4">
        <v>119.33843</v>
      </c>
      <c r="K29" s="4">
        <v>119.44</v>
      </c>
      <c r="L29" s="4">
        <f t="shared" si="4"/>
        <v>5.6774499999999932</v>
      </c>
      <c r="M29" s="4">
        <f t="shared" si="5"/>
        <v>5.6774499999999932</v>
      </c>
      <c r="N29" s="4">
        <f t="shared" si="6"/>
        <v>32.233438502499922</v>
      </c>
      <c r="O29" s="4">
        <f t="shared" si="7"/>
        <v>4.7533908238446027E-2</v>
      </c>
    </row>
    <row r="30" spans="1:18" x14ac:dyDescent="0.35">
      <c r="A30">
        <v>114.74</v>
      </c>
      <c r="B30">
        <v>101.2</v>
      </c>
      <c r="F30">
        <v>76</v>
      </c>
      <c r="G30" s="4">
        <v>113.76233999999999</v>
      </c>
      <c r="H30" s="4">
        <v>2.97587</v>
      </c>
      <c r="I30" s="4">
        <v>107.92975</v>
      </c>
      <c r="J30" s="4">
        <v>119.59493999999999</v>
      </c>
      <c r="K30" s="4">
        <v>118.56</v>
      </c>
      <c r="L30" s="4">
        <f t="shared" si="4"/>
        <v>4.7976600000000076</v>
      </c>
      <c r="M30" s="4">
        <f t="shared" si="5"/>
        <v>4.7976600000000076</v>
      </c>
      <c r="N30" s="4">
        <f t="shared" si="6"/>
        <v>23.017541475600073</v>
      </c>
      <c r="O30" s="4">
        <f t="shared" si="7"/>
        <v>4.0466093117408973E-2</v>
      </c>
    </row>
    <row r="31" spans="1:18" x14ac:dyDescent="0.35">
      <c r="A31">
        <v>114.52</v>
      </c>
      <c r="B31">
        <v>100.94</v>
      </c>
      <c r="F31">
        <v>77</v>
      </c>
      <c r="G31" s="4">
        <v>113.76224000000001</v>
      </c>
      <c r="H31" s="4">
        <v>3.10134</v>
      </c>
      <c r="I31" s="4">
        <v>107.68371999999999</v>
      </c>
      <c r="J31" s="4">
        <v>119.84075</v>
      </c>
      <c r="K31" s="4">
        <v>118.92</v>
      </c>
      <c r="L31" s="4">
        <f t="shared" si="4"/>
        <v>5.1577599999999961</v>
      </c>
      <c r="M31" s="4">
        <f t="shared" si="5"/>
        <v>5.1577599999999961</v>
      </c>
      <c r="N31" s="4">
        <f t="shared" si="6"/>
        <v>26.602488217599959</v>
      </c>
      <c r="O31" s="4">
        <f t="shared" si="7"/>
        <v>4.3371678439286881E-2</v>
      </c>
    </row>
    <row r="32" spans="1:18" x14ac:dyDescent="0.35">
      <c r="A32">
        <v>115.72</v>
      </c>
      <c r="B32">
        <v>101.53</v>
      </c>
    </row>
    <row r="33" spans="1:2" x14ac:dyDescent="0.35">
      <c r="A33">
        <v>114.65</v>
      </c>
      <c r="B33">
        <v>101.45</v>
      </c>
    </row>
    <row r="34" spans="1:2" x14ac:dyDescent="0.35">
      <c r="A34">
        <v>114.06</v>
      </c>
      <c r="B34">
        <v>101.75</v>
      </c>
    </row>
    <row r="35" spans="1:2" x14ac:dyDescent="0.35">
      <c r="A35">
        <v>113.8</v>
      </c>
      <c r="B35">
        <v>102</v>
      </c>
    </row>
    <row r="36" spans="1:2" x14ac:dyDescent="0.35">
      <c r="A36">
        <v>113.17</v>
      </c>
      <c r="B36">
        <v>101.95</v>
      </c>
    </row>
    <row r="37" spans="1:2" x14ac:dyDescent="0.35">
      <c r="A37">
        <v>115.31</v>
      </c>
      <c r="B37">
        <v>103.07</v>
      </c>
    </row>
    <row r="38" spans="1:2" x14ac:dyDescent="0.35">
      <c r="A38">
        <v>115.72</v>
      </c>
      <c r="B38">
        <v>103.87</v>
      </c>
    </row>
    <row r="39" spans="1:2" x14ac:dyDescent="0.35">
      <c r="A39">
        <v>116.45</v>
      </c>
      <c r="B39">
        <v>104.19</v>
      </c>
    </row>
    <row r="40" spans="1:2" x14ac:dyDescent="0.35">
      <c r="A40">
        <v>115.96</v>
      </c>
      <c r="B40">
        <v>104.23</v>
      </c>
    </row>
    <row r="41" spans="1:2" x14ac:dyDescent="0.35">
      <c r="A41">
        <v>115.51</v>
      </c>
      <c r="B41">
        <v>103.93</v>
      </c>
    </row>
    <row r="42" spans="1:2" x14ac:dyDescent="0.35">
      <c r="A42">
        <v>115.32</v>
      </c>
      <c r="B42">
        <v>103.06</v>
      </c>
    </row>
    <row r="43" spans="1:2" x14ac:dyDescent="0.35">
      <c r="A43">
        <v>117.58</v>
      </c>
      <c r="B43">
        <v>103.57</v>
      </c>
    </row>
    <row r="44" spans="1:2" x14ac:dyDescent="0.35">
      <c r="A44">
        <v>117.65</v>
      </c>
      <c r="B44">
        <v>103.85</v>
      </c>
    </row>
    <row r="45" spans="1:2" x14ac:dyDescent="0.35">
      <c r="A45">
        <v>117.18</v>
      </c>
      <c r="B45">
        <v>103.78</v>
      </c>
    </row>
    <row r="46" spans="1:2" x14ac:dyDescent="0.35">
      <c r="A46">
        <v>118.55</v>
      </c>
      <c r="B46">
        <v>104.82</v>
      </c>
    </row>
    <row r="47" spans="1:2" x14ac:dyDescent="0.35">
      <c r="A47">
        <v>118.7</v>
      </c>
      <c r="B47">
        <v>105.69</v>
      </c>
    </row>
    <row r="48" spans="1:2" x14ac:dyDescent="0.35">
      <c r="A48">
        <v>119.36</v>
      </c>
      <c r="B48">
        <v>105.84</v>
      </c>
    </row>
    <row r="49" spans="1:2" x14ac:dyDescent="0.35">
      <c r="A49">
        <v>123</v>
      </c>
      <c r="B49">
        <v>105.87</v>
      </c>
    </row>
    <row r="50" spans="1:2" x14ac:dyDescent="0.35">
      <c r="A50">
        <v>126.72</v>
      </c>
      <c r="B50">
        <v>106.77</v>
      </c>
    </row>
    <row r="51" spans="1:2" x14ac:dyDescent="0.35">
      <c r="A51">
        <v>128.16999999999999</v>
      </c>
      <c r="B51">
        <v>107.8</v>
      </c>
    </row>
    <row r="52" spans="1:2" x14ac:dyDescent="0.35">
      <c r="A52">
        <v>127.73</v>
      </c>
      <c r="B52">
        <v>109.29</v>
      </c>
    </row>
    <row r="53" spans="1:2" x14ac:dyDescent="0.35">
      <c r="A53">
        <v>129.44999999999999</v>
      </c>
      <c r="B53">
        <v>109.4</v>
      </c>
    </row>
    <row r="54" spans="1:2" x14ac:dyDescent="0.35">
      <c r="A54">
        <v>131.80000000000001</v>
      </c>
      <c r="B54">
        <v>109.66</v>
      </c>
    </row>
    <row r="55" spans="1:2" x14ac:dyDescent="0.35">
      <c r="A55">
        <v>133.63</v>
      </c>
      <c r="B55">
        <v>109.48</v>
      </c>
    </row>
    <row r="56" spans="1:2" x14ac:dyDescent="0.35">
      <c r="A56">
        <v>132.59</v>
      </c>
      <c r="B56">
        <v>109.83</v>
      </c>
    </row>
    <row r="57" spans="1:2" x14ac:dyDescent="0.35">
      <c r="A57">
        <v>134.31</v>
      </c>
      <c r="B57">
        <v>110.24</v>
      </c>
    </row>
    <row r="58" spans="1:2" x14ac:dyDescent="0.35">
      <c r="A58">
        <v>137.46</v>
      </c>
      <c r="B58">
        <v>111</v>
      </c>
    </row>
    <row r="59" spans="1:2" x14ac:dyDescent="0.35">
      <c r="A59">
        <v>140.66</v>
      </c>
      <c r="B59">
        <v>111.92</v>
      </c>
    </row>
    <row r="60" spans="1:2" x14ac:dyDescent="0.35">
      <c r="A60">
        <v>142.33000000000001</v>
      </c>
      <c r="B60">
        <v>112.31</v>
      </c>
    </row>
    <row r="61" spans="1:2" x14ac:dyDescent="0.35">
      <c r="A61">
        <v>145</v>
      </c>
      <c r="B61">
        <v>113.82</v>
      </c>
    </row>
    <row r="62" spans="1:2" x14ac:dyDescent="0.35">
      <c r="A62">
        <v>147.19999999999999</v>
      </c>
      <c r="B62">
        <v>113.62</v>
      </c>
    </row>
    <row r="63" spans="1:2" x14ac:dyDescent="0.35">
      <c r="A63">
        <v>148.35</v>
      </c>
      <c r="B63">
        <v>113.93</v>
      </c>
    </row>
    <row r="64" spans="1:2" x14ac:dyDescent="0.35">
      <c r="A64">
        <v>144.46</v>
      </c>
      <c r="B64">
        <v>115.31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" ma:contentTypeID="0x01010070692EBF48D0BE4EA7A0AD1DDA3A446F" ma:contentTypeVersion="6" ma:contentTypeDescription="Buat sebuah dokumen baru." ma:contentTypeScope="" ma:versionID="c7e32e87d0c8deb5f1ccf8ecec9b1b17">
  <xsd:schema xmlns:xsd="http://www.w3.org/2001/XMLSchema" xmlns:xs="http://www.w3.org/2001/XMLSchema" xmlns:p="http://schemas.microsoft.com/office/2006/metadata/properties" xmlns:ns3="9be4eee6-1fab-499c-a5cb-2b28b6e7a027" targetNamespace="http://schemas.microsoft.com/office/2006/metadata/properties" ma:root="true" ma:fieldsID="643c71726dae2adbf0eab98704332704" ns3:_="">
    <xsd:import namespace="9be4eee6-1fab-499c-a5cb-2b28b6e7a02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e4eee6-1fab-499c-a5cb-2b28b6e7a0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e Isi"/>
        <xsd:element ref="dc:title" minOccurs="0" maxOccurs="1" ma:index="4" ma:displayName="Judu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e4eee6-1fab-499c-a5cb-2b28b6e7a027" xsi:nil="true"/>
  </documentManagement>
</p:properties>
</file>

<file path=customXml/itemProps1.xml><?xml version="1.0" encoding="utf-8"?>
<ds:datastoreItem xmlns:ds="http://schemas.openxmlformats.org/officeDocument/2006/customXml" ds:itemID="{E4998CF7-0502-429E-AD7A-F4222B8E32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e4eee6-1fab-499c-a5cb-2b28b6e7a0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772C563-1B35-4912-9BCA-792190FF833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0181F97-CC9F-47CE-B438-7D41F32D98F8}">
  <ds:schemaRefs>
    <ds:schemaRef ds:uri="http://www.w3.org/XML/1998/namespace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9be4eee6-1fab-499c-a5cb-2b28b6e7a027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Ida Bagus Panya Ananda Yogi</dc:creator>
  <cp:lastModifiedBy>Rizal Afandi</cp:lastModifiedBy>
  <dcterms:created xsi:type="dcterms:W3CDTF">2025-06-20T07:34:53Z</dcterms:created>
  <dcterms:modified xsi:type="dcterms:W3CDTF">2025-06-25T11:17:38Z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0x01010070692EBF48D0BE4EA7A0AD1DDA3A446F</vt:lpwstr>
  </property>
</Properties>
</file>